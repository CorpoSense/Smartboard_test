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filterPrivacy="1" codeName="ThisWorkbook" defaultThemeVersion="124226"/>
  <xr:revisionPtr revIDLastSave="0" documentId="13_ncr:1_{0DDE66F8-D41C-458D-84CD-D0F8EBF0C7E7}" xr6:coauthVersionLast="45" xr6:coauthVersionMax="45" xr10:uidLastSave="{00000000-0000-0000-0000-000000000000}"/>
  <bookViews>
    <workbookView xWindow="-110" yWindow="-110" windowWidth="19420" windowHeight="10420" activeTab="6" xr2:uid="{00000000-000D-0000-FFFF-FFFF00000000}"/>
  </bookViews>
  <sheets>
    <sheet name="L1" sheetId="1" r:id="rId1"/>
    <sheet name="INFO" sheetId="2" r:id="rId2"/>
    <sheet name="L2 MATH" sheetId="3" r:id="rId3"/>
    <sheet name="SI" sheetId="6" r:id="rId4"/>
    <sheet name="L3 MATH" sheetId="5" r:id="rId5"/>
    <sheet name="Recap" sheetId="7" r:id="rId6"/>
    <sheet name="ISIL" sheetId="4" r:id="rId7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6" i="7" l="1"/>
  <c r="L2" i="7" s="1"/>
  <c r="L7" i="7" s="1"/>
  <c r="J18" i="6" l="1"/>
  <c r="K18" i="6" s="1"/>
  <c r="J16" i="6"/>
  <c r="K16" i="6" s="1"/>
  <c r="J14" i="6"/>
  <c r="K14" i="6" s="1"/>
  <c r="J12" i="6"/>
  <c r="K12" i="6" s="1"/>
  <c r="J10" i="6"/>
  <c r="K10" i="6" s="1"/>
  <c r="J8" i="6"/>
  <c r="K8" i="6" s="1"/>
  <c r="J6" i="6"/>
  <c r="K6" i="6" s="1"/>
  <c r="J4" i="6"/>
  <c r="J12" i="5"/>
  <c r="L12" i="5" s="1"/>
  <c r="M12" i="5" s="1"/>
  <c r="K12" i="5"/>
  <c r="K6" i="5"/>
  <c r="J6" i="5"/>
  <c r="J8" i="5"/>
  <c r="J10" i="5"/>
  <c r="K10" i="5" s="1"/>
  <c r="J4" i="5"/>
  <c r="L4" i="5" s="1"/>
  <c r="J6" i="4"/>
  <c r="J14" i="4"/>
  <c r="J16" i="5"/>
  <c r="K16" i="5" s="1"/>
  <c r="J16" i="4"/>
  <c r="K16" i="4" s="1"/>
  <c r="J12" i="4"/>
  <c r="K12" i="4" s="1"/>
  <c r="J10" i="4"/>
  <c r="J8" i="4"/>
  <c r="K8" i="4" s="1"/>
  <c r="J4" i="4"/>
  <c r="J18" i="4"/>
  <c r="L18" i="4" s="1"/>
  <c r="L10" i="4" l="1"/>
  <c r="L4" i="4"/>
  <c r="L8" i="5"/>
  <c r="P18" i="5" s="1"/>
  <c r="K8" i="5"/>
  <c r="M8" i="5" s="1"/>
  <c r="K4" i="5"/>
  <c r="M4" i="5" s="1"/>
  <c r="L18" i="6"/>
  <c r="M18" i="6" s="1"/>
  <c r="L14" i="6"/>
  <c r="M14" i="6" s="1"/>
  <c r="L10" i="6"/>
  <c r="M10" i="6" s="1"/>
  <c r="L4" i="6"/>
  <c r="K4" i="6"/>
  <c r="K6" i="4"/>
  <c r="L16" i="5"/>
  <c r="M16" i="5" s="1"/>
  <c r="L14" i="4"/>
  <c r="K4" i="4"/>
  <c r="K10" i="4"/>
  <c r="K14" i="4"/>
  <c r="K18" i="4"/>
  <c r="M18" i="4" s="1"/>
  <c r="J35" i="3"/>
  <c r="K35" i="3" s="1"/>
  <c r="J33" i="3"/>
  <c r="K33" i="3" s="1"/>
  <c r="J31" i="3"/>
  <c r="K31" i="3" s="1"/>
  <c r="J29" i="3"/>
  <c r="K29" i="3" s="1"/>
  <c r="J27" i="3"/>
  <c r="K27" i="3" s="1"/>
  <c r="J25" i="3"/>
  <c r="K25" i="3" s="1"/>
  <c r="J23" i="3"/>
  <c r="K23" i="3" s="1"/>
  <c r="J16" i="3"/>
  <c r="K16" i="3" s="1"/>
  <c r="J14" i="3"/>
  <c r="K14" i="3" s="1"/>
  <c r="J12" i="3"/>
  <c r="K12" i="3" s="1"/>
  <c r="J10" i="3"/>
  <c r="K10" i="3" s="1"/>
  <c r="J8" i="3"/>
  <c r="K8" i="3" s="1"/>
  <c r="J6" i="3"/>
  <c r="K6" i="3" s="1"/>
  <c r="J4" i="3"/>
  <c r="K4" i="3" s="1"/>
  <c r="M10" i="4" l="1"/>
  <c r="P20" i="4"/>
  <c r="P20" i="6"/>
  <c r="P19" i="5"/>
  <c r="M4" i="6"/>
  <c r="M4" i="4"/>
  <c r="M14" i="4"/>
  <c r="L4" i="3"/>
  <c r="L10" i="3"/>
  <c r="M10" i="3" s="1"/>
  <c r="L16" i="3"/>
  <c r="P18" i="3" s="1"/>
  <c r="L23" i="3"/>
  <c r="L29" i="3"/>
  <c r="M29" i="3" s="1"/>
  <c r="L35" i="3"/>
  <c r="M35" i="3" s="1"/>
  <c r="M16" i="3" l="1"/>
  <c r="P21" i="6"/>
  <c r="P21" i="4"/>
  <c r="M23" i="3"/>
  <c r="P33" i="3"/>
  <c r="M4" i="3"/>
  <c r="P36" i="3"/>
  <c r="P19" i="3" l="1"/>
  <c r="P34" i="3"/>
  <c r="P37" i="3" l="1"/>
  <c r="P38" i="3" s="1"/>
  <c r="J37" i="2"/>
  <c r="K37" i="2" s="1"/>
  <c r="J35" i="2"/>
  <c r="K35" i="2" s="1"/>
  <c r="J33" i="2"/>
  <c r="K33" i="2" s="1"/>
  <c r="J31" i="2"/>
  <c r="K31" i="2" s="1"/>
  <c r="J29" i="2"/>
  <c r="K29" i="2" s="1"/>
  <c r="J27" i="2"/>
  <c r="K27" i="2" s="1"/>
  <c r="J25" i="2"/>
  <c r="K25" i="2" s="1"/>
  <c r="J23" i="2"/>
  <c r="K23" i="2" s="1"/>
  <c r="J16" i="2"/>
  <c r="K16" i="2" s="1"/>
  <c r="J14" i="2"/>
  <c r="K14" i="2" s="1"/>
  <c r="J12" i="2"/>
  <c r="K12" i="2" s="1"/>
  <c r="J10" i="2"/>
  <c r="K10" i="2" s="1"/>
  <c r="J8" i="2"/>
  <c r="K8" i="2" s="1"/>
  <c r="J6" i="2"/>
  <c r="K6" i="2" s="1"/>
  <c r="J4" i="2"/>
  <c r="K4" i="2" s="1"/>
  <c r="L4" i="2" l="1"/>
  <c r="L10" i="2"/>
  <c r="M10" i="2" s="1"/>
  <c r="L16" i="2"/>
  <c r="M16" i="2" s="1"/>
  <c r="L23" i="2"/>
  <c r="L29" i="2"/>
  <c r="M29" i="2" s="1"/>
  <c r="L35" i="2"/>
  <c r="M35" i="2" s="1"/>
  <c r="M4" i="2" l="1"/>
  <c r="P36" i="2"/>
  <c r="P18" i="2"/>
  <c r="P19" i="2" s="1"/>
  <c r="M23" i="2"/>
  <c r="P33" i="2"/>
  <c r="P34" i="2" l="1"/>
  <c r="P37" i="2" s="1"/>
  <c r="P38" i="2" s="1"/>
  <c r="J10" i="1" l="1"/>
  <c r="J18" i="1"/>
  <c r="J8" i="1"/>
  <c r="J41" i="1" l="1"/>
  <c r="K41" i="1" s="1"/>
  <c r="J39" i="1"/>
  <c r="K39" i="1" s="1"/>
  <c r="J37" i="1"/>
  <c r="K37" i="1" s="1"/>
  <c r="J35" i="1"/>
  <c r="J33" i="1"/>
  <c r="K33" i="1" s="1"/>
  <c r="J31" i="1"/>
  <c r="J25" i="1"/>
  <c r="K25" i="1" s="1"/>
  <c r="J29" i="1"/>
  <c r="K29" i="1" s="1"/>
  <c r="K18" i="1"/>
  <c r="J16" i="1"/>
  <c r="K16" i="1" s="1"/>
  <c r="J14" i="1"/>
  <c r="J12" i="1"/>
  <c r="K12" i="1" s="1"/>
  <c r="J6" i="1"/>
  <c r="K8" i="1"/>
  <c r="L10" i="1" l="1"/>
  <c r="L14" i="1"/>
  <c r="L35" i="1"/>
  <c r="K35" i="1"/>
  <c r="L31" i="1"/>
  <c r="K31" i="1"/>
  <c r="L39" i="1"/>
  <c r="M39" i="1" s="1"/>
  <c r="L18" i="1"/>
  <c r="K14" i="1"/>
  <c r="K10" i="1"/>
  <c r="M10" i="1" l="1"/>
  <c r="M35" i="1"/>
  <c r="M18" i="1"/>
  <c r="M14" i="1"/>
  <c r="M31" i="1"/>
  <c r="J27" i="1"/>
  <c r="L25" i="1" s="1"/>
  <c r="P37" i="1" s="1"/>
  <c r="K6" i="1"/>
  <c r="J4" i="1"/>
  <c r="K4" i="1" l="1"/>
  <c r="L4" i="1"/>
  <c r="P40" i="1" l="1"/>
  <c r="P20" i="1"/>
  <c r="M4" i="1"/>
  <c r="K27" i="1"/>
  <c r="M25" i="1" s="1"/>
  <c r="P38" i="1" s="1"/>
  <c r="P21" i="1" l="1"/>
  <c r="P41" i="1" s="1"/>
  <c r="P42" i="1" s="1"/>
</calcChain>
</file>

<file path=xl/sharedStrings.xml><?xml version="1.0" encoding="utf-8"?>
<sst xmlns="http://schemas.openxmlformats.org/spreadsheetml/2006/main" count="571" uniqueCount="218">
  <si>
    <t>Unité d'enseignement</t>
  </si>
  <si>
    <t>UE Fondamentale</t>
  </si>
  <si>
    <t>Code : UEF11</t>
  </si>
  <si>
    <t>Crédits : 17</t>
  </si>
  <si>
    <t>Coefficients : 10</t>
  </si>
  <si>
    <t>UE Méthodologique</t>
  </si>
  <si>
    <t>Code : UEM11</t>
  </si>
  <si>
    <t>Crédits : 7</t>
  </si>
  <si>
    <t>Coefficients : 2</t>
  </si>
  <si>
    <t>UE Découverte</t>
  </si>
  <si>
    <t>Code : UED11</t>
  </si>
  <si>
    <t>Crédits : 4</t>
  </si>
  <si>
    <t>Coefficients : 4</t>
  </si>
  <si>
    <t>UE Transversale</t>
  </si>
  <si>
    <t>Crédits : 2</t>
  </si>
  <si>
    <t>Coefficients : 1</t>
  </si>
  <si>
    <t>Code : UET11</t>
  </si>
  <si>
    <t>Matières</t>
  </si>
  <si>
    <t>Code</t>
  </si>
  <si>
    <t>Intitulé</t>
  </si>
  <si>
    <t>F111</t>
  </si>
  <si>
    <t>F112</t>
  </si>
  <si>
    <t>F113</t>
  </si>
  <si>
    <t>Algèbre 1</t>
  </si>
  <si>
    <t>Analyse 1</t>
  </si>
  <si>
    <t>Initiation à l'algorithmique</t>
  </si>
  <si>
    <t>M111</t>
  </si>
  <si>
    <t>M112</t>
  </si>
  <si>
    <t xml:space="preserve">TP Bureautique </t>
  </si>
  <si>
    <t xml:space="preserve">Terminologie scientifique et expression </t>
  </si>
  <si>
    <t>écrite et orale</t>
  </si>
  <si>
    <t>D112</t>
  </si>
  <si>
    <t>D114</t>
  </si>
  <si>
    <t>Codage et représentation de l'information</t>
  </si>
  <si>
    <t>Electronique, composants des systèmes</t>
  </si>
  <si>
    <t>T111</t>
  </si>
  <si>
    <t>Langue anglaise</t>
  </si>
  <si>
    <t>Crédits</t>
  </si>
  <si>
    <t>Coefficient</t>
  </si>
  <si>
    <t>Mode d'évaluation</t>
  </si>
  <si>
    <t>TP</t>
  </si>
  <si>
    <t>x</t>
  </si>
  <si>
    <t>TD</t>
  </si>
  <si>
    <t>Moyenne</t>
  </si>
  <si>
    <t>Crédit</t>
  </si>
  <si>
    <t>obtenu</t>
  </si>
  <si>
    <t>Module</t>
  </si>
  <si>
    <t>UE</t>
  </si>
  <si>
    <t>Code : UEF21</t>
  </si>
  <si>
    <t>Crédits : 11</t>
  </si>
  <si>
    <t>Coefficients : 5</t>
  </si>
  <si>
    <t>F211</t>
  </si>
  <si>
    <t>F212</t>
  </si>
  <si>
    <t>F213</t>
  </si>
  <si>
    <t>Analyse 2</t>
  </si>
  <si>
    <t>Algèbre 2</t>
  </si>
  <si>
    <t>descriptive</t>
  </si>
  <si>
    <t>Code : UEF22</t>
  </si>
  <si>
    <t>Crédits : 9</t>
  </si>
  <si>
    <t>F221</t>
  </si>
  <si>
    <t>F222</t>
  </si>
  <si>
    <t>Introduction aux probabilités et statistique</t>
  </si>
  <si>
    <t>Programmation et structures de données</t>
  </si>
  <si>
    <t>Structure machine</t>
  </si>
  <si>
    <t>Code : UEM21</t>
  </si>
  <si>
    <t>Coefficients : 3</t>
  </si>
  <si>
    <t>M211</t>
  </si>
  <si>
    <t>M213</t>
  </si>
  <si>
    <t>Introduction a la programmation orienté</t>
  </si>
  <si>
    <t>Code : UET21</t>
  </si>
  <si>
    <t>Crédits : 3</t>
  </si>
  <si>
    <t>T211</t>
  </si>
  <si>
    <t>T212</t>
  </si>
  <si>
    <t>Physique 2 (électricité générale)</t>
  </si>
  <si>
    <t>Histoire des sciences</t>
  </si>
  <si>
    <t>Moyenne générale</t>
  </si>
  <si>
    <t>Decision du conseil</t>
  </si>
  <si>
    <t>Moyenne du 1er semestre</t>
  </si>
  <si>
    <t>Moyenne du 2eme semestre</t>
  </si>
  <si>
    <t>Crédit du 1er semestre (30)</t>
  </si>
  <si>
    <t>Crédit du 2eme semestre (30)</t>
  </si>
  <si>
    <t>Crédit annuel (60)</t>
  </si>
  <si>
    <t>Technique de l'information et de la</t>
  </si>
  <si>
    <t>communication</t>
  </si>
  <si>
    <t>S1</t>
  </si>
  <si>
    <t>S2</t>
  </si>
  <si>
    <t>objet</t>
  </si>
  <si>
    <t>EMD</t>
  </si>
  <si>
    <t>S3</t>
  </si>
  <si>
    <t>S4</t>
  </si>
  <si>
    <t>MI</t>
  </si>
  <si>
    <t>Contact : byf@outlook.fr</t>
  </si>
  <si>
    <t>INFO</t>
  </si>
  <si>
    <t>F311</t>
  </si>
  <si>
    <t>Architecture des ordinateurs</t>
  </si>
  <si>
    <t>Code : UEF31</t>
  </si>
  <si>
    <t>F312</t>
  </si>
  <si>
    <t>Algorithmique et structures de données</t>
  </si>
  <si>
    <t>Crédits : 15</t>
  </si>
  <si>
    <t>Coefficients : 7</t>
  </si>
  <si>
    <t>F313</t>
  </si>
  <si>
    <t>Logique mathématique</t>
  </si>
  <si>
    <t>F321</t>
  </si>
  <si>
    <t>Programmation orienté objet</t>
  </si>
  <si>
    <t>Code : UEF32</t>
  </si>
  <si>
    <t>F322</t>
  </si>
  <si>
    <t>Systèmes d’information</t>
  </si>
  <si>
    <t>Crédits : 13</t>
  </si>
  <si>
    <t>Coefficients : 8</t>
  </si>
  <si>
    <t>F323</t>
  </si>
  <si>
    <t>Théorie des langages</t>
  </si>
  <si>
    <t>M311</t>
  </si>
  <si>
    <t>Langue anglaise 2</t>
  </si>
  <si>
    <t>Code : UEM31</t>
  </si>
  <si>
    <t>Moyenne du 3eme semestre</t>
  </si>
  <si>
    <t>Crédit du 3eme semestre (30)</t>
  </si>
  <si>
    <t>F411</t>
  </si>
  <si>
    <t>Bases de données</t>
  </si>
  <si>
    <t>Code : UEF41</t>
  </si>
  <si>
    <t>F412</t>
  </si>
  <si>
    <t>Systèmes d’exploitation 1</t>
  </si>
  <si>
    <t>F413</t>
  </si>
  <si>
    <t>Génie logiciel 1</t>
  </si>
  <si>
    <t>F421</t>
  </si>
  <si>
    <t>Théorie des graphes</t>
  </si>
  <si>
    <t>Code : UEF42</t>
  </si>
  <si>
    <t>F422</t>
  </si>
  <si>
    <t>Réseaux de communication</t>
  </si>
  <si>
    <t>Crédit du 1ere année (à remplir)</t>
  </si>
  <si>
    <t>F423</t>
  </si>
  <si>
    <t>Développement d’applications Web</t>
  </si>
  <si>
    <t>Moyenne du 4eme semestre</t>
  </si>
  <si>
    <t>Crédit du 4eme semestre (30)</t>
  </si>
  <si>
    <t>M411</t>
  </si>
  <si>
    <t xml:space="preserve">Aspects juridiques et économiques des </t>
  </si>
  <si>
    <t>Code : UEM41</t>
  </si>
  <si>
    <t>logiciels</t>
  </si>
  <si>
    <t>M412</t>
  </si>
  <si>
    <t>Langue anglaise 3</t>
  </si>
  <si>
    <t>Copyright © 2018 Yassine BENAISSA (Etudiant ISIL-Alger1)</t>
  </si>
  <si>
    <t>Algèbre 3</t>
  </si>
  <si>
    <t>Analyse 3</t>
  </si>
  <si>
    <t>Crédits : 18</t>
  </si>
  <si>
    <t>Coefficients : 9</t>
  </si>
  <si>
    <t>Introduction à la topologie</t>
  </si>
  <si>
    <t>Analyse numérique 1</t>
  </si>
  <si>
    <t>M312</t>
  </si>
  <si>
    <t>Logique Mathématique</t>
  </si>
  <si>
    <t>Crédits : 10</t>
  </si>
  <si>
    <t>M313</t>
  </si>
  <si>
    <t>Outils de Programmation 2</t>
  </si>
  <si>
    <t>D311</t>
  </si>
  <si>
    <t>Histoire des Mathématiques</t>
  </si>
  <si>
    <t>Code : UED31</t>
  </si>
  <si>
    <t>Algèbre 4</t>
  </si>
  <si>
    <t>Analyse 4</t>
  </si>
  <si>
    <t>Analyse complexe</t>
  </si>
  <si>
    <t>Analyse numérique 2</t>
  </si>
  <si>
    <t>Probabilités</t>
  </si>
  <si>
    <t>Coefficients : 6</t>
  </si>
  <si>
    <t>M413</t>
  </si>
  <si>
    <t>Géométrie</t>
  </si>
  <si>
    <t>D411</t>
  </si>
  <si>
    <t>Code : UED41</t>
  </si>
  <si>
    <t xml:space="preserve">Application des Mathématiques aux autres </t>
  </si>
  <si>
    <t>sciences</t>
  </si>
  <si>
    <t>L2 MATH</t>
  </si>
  <si>
    <t>Crédit du 5eme semestre (30)</t>
  </si>
  <si>
    <t>ISIL</t>
  </si>
  <si>
    <t>S5</t>
  </si>
  <si>
    <t>Code : UEF51</t>
  </si>
  <si>
    <t>F511</t>
  </si>
  <si>
    <t>F512</t>
  </si>
  <si>
    <t>F513</t>
  </si>
  <si>
    <t>Outil de modélisation des SI</t>
  </si>
  <si>
    <t>Organisation et Management</t>
  </si>
  <si>
    <t>Systèmes d’aide à la décision</t>
  </si>
  <si>
    <t>Crédits : 8</t>
  </si>
  <si>
    <t>Code : UEF52</t>
  </si>
  <si>
    <t>F521</t>
  </si>
  <si>
    <t>F522</t>
  </si>
  <si>
    <t>Code : UEM51</t>
  </si>
  <si>
    <t>M512</t>
  </si>
  <si>
    <t>M511</t>
  </si>
  <si>
    <t>Code : UET51</t>
  </si>
  <si>
    <t>T511</t>
  </si>
  <si>
    <t>Analyse et conception orienté Objet</t>
  </si>
  <si>
    <t>Gestion de projet Logiciel</t>
  </si>
  <si>
    <t>BD Avancées</t>
  </si>
  <si>
    <t>Programmation avancée pour le web</t>
  </si>
  <si>
    <t>Moyenne du 5eme semestre</t>
  </si>
  <si>
    <t>SI</t>
  </si>
  <si>
    <t>Crédits : 12</t>
  </si>
  <si>
    <t>Système d’exploitation 2</t>
  </si>
  <si>
    <t>Compilation</t>
  </si>
  <si>
    <t>Programmation logique</t>
  </si>
  <si>
    <t>Génie Logiciel 2</t>
  </si>
  <si>
    <t>IHM</t>
  </si>
  <si>
    <t>Paradigmes de programmation</t>
  </si>
  <si>
    <t>Intelligence artificielle</t>
  </si>
  <si>
    <t>Introduction à l’analyse Hilbertienne</t>
  </si>
  <si>
    <t>Mesure et Intégration</t>
  </si>
  <si>
    <t>Equations Différentielles</t>
  </si>
  <si>
    <t>Equations de la physique mathématique</t>
  </si>
  <si>
    <t xml:space="preserve">Optimisation sans contraintes </t>
  </si>
  <si>
    <t>Initiation à la didactique des mathématiques</t>
  </si>
  <si>
    <t>L3 MATH</t>
  </si>
  <si>
    <t>MSE</t>
  </si>
  <si>
    <t>r</t>
  </si>
  <si>
    <t>d</t>
  </si>
  <si>
    <t>s</t>
  </si>
  <si>
    <t>n</t>
  </si>
  <si>
    <t>S6</t>
  </si>
  <si>
    <t>MC</t>
  </si>
  <si>
    <t>Laissez la case d'histoire mathématique vide si vous ne  l'avez pas étudiée</t>
  </si>
  <si>
    <t>Crédits : 5</t>
  </si>
  <si>
    <t>Mark12</t>
  </si>
  <si>
    <t>Mark13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</si>
</sst>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5">
    <xf numFmtId="0" fontId="0" fillId="0" borderId="0" xfId="0"/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0" xfId="0" applyFont="1"/>
    <xf numFmtId="0" fontId="0" fillId="3" borderId="3" xfId="0" applyFill="1" applyBorder="1"/>
    <xf numFmtId="0" fontId="0" fillId="3" borderId="4" xfId="0" applyFill="1" applyBorder="1"/>
    <xf numFmtId="0" fontId="0" fillId="4" borderId="3" xfId="0" applyFill="1" applyBorder="1"/>
    <xf numFmtId="0" fontId="0" fillId="4" borderId="4" xfId="0" applyFill="1" applyBorder="1"/>
    <xf numFmtId="0" fontId="0" fillId="5" borderId="3" xfId="0" applyFill="1" applyBorder="1"/>
    <xf numFmtId="0" fontId="0" fillId="5" borderId="4" xfId="0" applyFill="1" applyBorder="1"/>
    <xf numFmtId="0" fontId="0" fillId="8" borderId="3" xfId="0" applyFill="1" applyBorder="1"/>
    <xf numFmtId="0" fontId="0" fillId="8" borderId="4" xfId="0" applyFill="1" applyBorder="1"/>
    <xf numFmtId="0" fontId="0" fillId="5" borderId="2" xfId="0" applyFill="1" applyBorder="1"/>
    <xf numFmtId="0" fontId="0" fillId="8" borderId="2" xfId="0" applyFill="1" applyBorder="1"/>
    <xf numFmtId="0" fontId="0" fillId="11" borderId="2" xfId="0" applyFill="1" applyBorder="1" applyAlignment="1"/>
    <xf numFmtId="0" fontId="0" fillId="11" borderId="2" xfId="0" applyFill="1" applyBorder="1" applyAlignment="1">
      <alignment horizontal="center"/>
    </xf>
    <xf numFmtId="0" fontId="0" fillId="11" borderId="2" xfId="0" applyFill="1" applyBorder="1"/>
    <xf numFmtId="0" fontId="0" fillId="11" borderId="4" xfId="0" applyFill="1" applyBorder="1" applyAlignment="1">
      <alignment horizontal="center" vertical="top"/>
    </xf>
    <xf numFmtId="0" fontId="0" fillId="11" borderId="9" xfId="0" applyFill="1" applyBorder="1" applyAlignment="1">
      <alignment horizontal="center" vertical="top"/>
    </xf>
    <xf numFmtId="0" fontId="0" fillId="11" borderId="4" xfId="0" applyFill="1" applyBorder="1" applyAlignment="1">
      <alignment horizontal="center" vertical="center"/>
    </xf>
    <xf numFmtId="0" fontId="2" fillId="11" borderId="1" xfId="0" applyFont="1" applyFill="1" applyBorder="1"/>
    <xf numFmtId="2" fontId="0" fillId="6" borderId="1" xfId="0" applyNumberFormat="1" applyFon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5" borderId="2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11" borderId="1" xfId="0" applyFill="1" applyBorder="1"/>
    <xf numFmtId="2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0" fillId="3" borderId="4" xfId="0" applyFill="1" applyBorder="1" applyAlignment="1"/>
    <xf numFmtId="0" fontId="0" fillId="3" borderId="3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0" fontId="0" fillId="0" borderId="0" xfId="0" applyAlignment="1"/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2" fillId="0" borderId="0" xfId="0" applyFont="1"/>
    <xf numFmtId="0" fontId="0" fillId="11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4" borderId="2" xfId="0" applyFill="1" applyBorder="1"/>
    <xf numFmtId="0" fontId="0" fillId="6" borderId="1" xfId="0" applyFill="1" applyBorder="1"/>
    <xf numFmtId="2" fontId="0" fillId="12" borderId="1" xfId="0" applyNumberFormat="1" applyFill="1" applyBorder="1" applyAlignment="1" applyProtection="1">
      <alignment horizontal="center" vertical="center"/>
      <protection locked="0"/>
    </xf>
    <xf numFmtId="1" fontId="0" fillId="12" borderId="1" xfId="0" applyNumberFormat="1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>
      <alignment vertical="center"/>
    </xf>
    <xf numFmtId="0" fontId="0" fillId="0" borderId="8" xfId="0" applyBorder="1"/>
    <xf numFmtId="0" fontId="4" fillId="6" borderId="1" xfId="0" applyFont="1" applyFill="1" applyBorder="1" applyAlignment="1">
      <alignment horizontal="center" vertical="center"/>
    </xf>
    <xf numFmtId="0" fontId="4" fillId="11" borderId="13" xfId="0" applyFont="1" applyFill="1" applyBorder="1" applyAlignment="1">
      <alignment horizontal="center" vertical="center"/>
    </xf>
    <xf numFmtId="0" fontId="4" fillId="6" borderId="14" xfId="0" applyFont="1" applyFill="1" applyBorder="1" applyAlignment="1">
      <alignment horizontal="center" vertical="center"/>
    </xf>
    <xf numFmtId="0" fontId="4" fillId="11" borderId="15" xfId="0" applyFont="1" applyFill="1" applyBorder="1" applyAlignment="1">
      <alignment horizontal="center" vertical="center"/>
    </xf>
    <xf numFmtId="0" fontId="4" fillId="11" borderId="14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4" fillId="12" borderId="10" xfId="0" applyNumberFormat="1" applyFont="1" applyFill="1" applyBorder="1" applyAlignment="1" applyProtection="1">
      <alignment horizontal="center" vertical="center"/>
      <protection locked="0"/>
    </xf>
    <xf numFmtId="2" fontId="4" fillId="12" borderId="5" xfId="0" applyNumberFormat="1" applyFont="1" applyFill="1" applyBorder="1" applyAlignment="1" applyProtection="1">
      <alignment horizontal="center" vertical="center"/>
      <protection locked="0"/>
    </xf>
    <xf numFmtId="0" fontId="0" fillId="8" borderId="2" xfId="0" applyFill="1" applyBorder="1" applyAlignment="1">
      <alignment horizontal="left" vertical="center"/>
    </xf>
    <xf numFmtId="0" fontId="0" fillId="8" borderId="4" xfId="0" applyFill="1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2" fontId="0" fillId="8" borderId="2" xfId="0" applyNumberFormat="1" applyFill="1" applyBorder="1" applyAlignment="1">
      <alignment horizontal="center" vertical="center"/>
    </xf>
    <xf numFmtId="2" fontId="0" fillId="8" borderId="3" xfId="0" applyNumberFormat="1" applyFill="1" applyBorder="1" applyAlignment="1">
      <alignment horizontal="center" vertical="center"/>
    </xf>
    <xf numFmtId="2" fontId="0" fillId="8" borderId="4" xfId="0" applyNumberForma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2" fontId="0" fillId="8" borderId="2" xfId="0" applyNumberFormat="1" applyFill="1" applyBorder="1" applyAlignment="1" applyProtection="1">
      <alignment horizontal="center" vertical="center"/>
      <protection locked="0"/>
    </xf>
    <xf numFmtId="2" fontId="0" fillId="8" borderId="4" xfId="0" applyNumberFormat="1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3" fillId="5" borderId="2" xfId="0" applyNumberFormat="1" applyFont="1" applyFill="1" applyBorder="1" applyAlignment="1" applyProtection="1">
      <alignment horizontal="center" vertical="center"/>
      <protection locked="0"/>
    </xf>
    <xf numFmtId="2" fontId="3" fillId="5" borderId="4" xfId="0" applyNumberFormat="1" applyFont="1" applyFill="1" applyBorder="1" applyAlignment="1" applyProtection="1">
      <alignment horizontal="center" vertical="center"/>
      <protection locked="0"/>
    </xf>
    <xf numFmtId="0" fontId="0" fillId="7" borderId="2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 applyProtection="1">
      <alignment horizontal="center" vertical="center"/>
      <protection locked="0"/>
    </xf>
    <xf numFmtId="2" fontId="0" fillId="5" borderId="4" xfId="0" applyNumberFormat="1" applyFill="1" applyBorder="1" applyAlignment="1" applyProtection="1">
      <alignment horizontal="center" vertical="center"/>
      <protection locked="0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1" borderId="2" xfId="0" applyFont="1" applyFill="1" applyBorder="1" applyAlignment="1">
      <alignment horizontal="center" vertical="center" textRotation="90"/>
    </xf>
    <xf numFmtId="0" fontId="0" fillId="11" borderId="4" xfId="0" applyFont="1" applyFill="1" applyBorder="1" applyAlignment="1">
      <alignment horizontal="center" vertical="center" textRotation="90"/>
    </xf>
    <xf numFmtId="0" fontId="1" fillId="11" borderId="2" xfId="0" applyFont="1" applyFill="1" applyBorder="1" applyAlignment="1">
      <alignment horizontal="center" textRotation="90"/>
    </xf>
    <xf numFmtId="0" fontId="1" fillId="11" borderId="4" xfId="0" applyFont="1" applyFill="1" applyBorder="1" applyAlignment="1">
      <alignment horizontal="center" textRotation="90"/>
    </xf>
    <xf numFmtId="0" fontId="0" fillId="6" borderId="8" xfId="0" applyFill="1" applyBorder="1" applyAlignment="1">
      <alignment horizontal="center" vertical="center"/>
    </xf>
    <xf numFmtId="0" fontId="0" fillId="8" borderId="3" xfId="0" applyFill="1" applyBorder="1" applyAlignment="1">
      <alignment horizontal="left" vertical="center"/>
    </xf>
    <xf numFmtId="2" fontId="0" fillId="8" borderId="3" xfId="0" applyNumberFormat="1" applyFill="1" applyBorder="1" applyAlignment="1" applyProtection="1">
      <alignment horizontal="center" vertical="center"/>
      <protection locked="0"/>
    </xf>
    <xf numFmtId="0" fontId="0" fillId="9" borderId="3" xfId="0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2" fontId="0" fillId="5" borderId="3" xfId="0" applyNumberForma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0" fontId="0" fillId="10" borderId="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2" fontId="0" fillId="4" borderId="2" xfId="0" applyNumberFormat="1" applyFill="1" applyBorder="1" applyAlignment="1" applyProtection="1">
      <alignment horizontal="center" vertical="center"/>
      <protection locked="0"/>
    </xf>
    <xf numFmtId="2" fontId="0" fillId="4" borderId="4" xfId="0" applyNumberFormat="1" applyFill="1" applyBorder="1" applyAlignment="1" applyProtection="1">
      <alignment horizontal="center" vertical="center"/>
      <protection locked="0"/>
    </xf>
    <xf numFmtId="2" fontId="0" fillId="3" borderId="2" xfId="0" applyNumberFormat="1" applyFill="1" applyBorder="1" applyAlignment="1">
      <alignment horizontal="center" vertical="center"/>
    </xf>
    <xf numFmtId="2" fontId="0" fillId="3" borderId="3" xfId="0" applyNumberFormat="1" applyFill="1" applyBorder="1" applyAlignment="1">
      <alignment horizontal="center" vertical="center"/>
    </xf>
    <xf numFmtId="2" fontId="0" fillId="3" borderId="4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2" fontId="0" fillId="3" borderId="2" xfId="0" applyNumberFormat="1" applyFill="1" applyBorder="1" applyAlignment="1" applyProtection="1">
      <alignment horizontal="center" vertical="center"/>
      <protection locked="0"/>
    </xf>
    <xf numFmtId="2" fontId="0" fillId="3" borderId="4" xfId="0" applyNumberFormat="1" applyFill="1" applyBorder="1" applyAlignment="1" applyProtection="1">
      <alignment horizontal="center" vertical="center"/>
      <protection locked="0"/>
    </xf>
    <xf numFmtId="2" fontId="3" fillId="3" borderId="2" xfId="0" applyNumberFormat="1" applyFont="1" applyFill="1" applyBorder="1" applyAlignment="1" applyProtection="1">
      <alignment horizontal="center" vertical="center"/>
      <protection locked="0"/>
    </xf>
    <xf numFmtId="2" fontId="3" fillId="3" borderId="4" xfId="0" applyNumberFormat="1" applyFont="1" applyFill="1" applyBorder="1" applyAlignment="1" applyProtection="1">
      <alignment horizontal="center" vertical="center"/>
      <protection locked="0"/>
    </xf>
    <xf numFmtId="2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2" fontId="0" fillId="2" borderId="2" xfId="0" applyNumberFormat="1" applyFill="1" applyBorder="1" applyAlignment="1" applyProtection="1">
      <alignment horizontal="center" vertical="center"/>
    </xf>
    <xf numFmtId="2" fontId="0" fillId="2" borderId="4" xfId="0" applyNumberFormat="1" applyFill="1" applyBorder="1" applyAlignment="1" applyProtection="1">
      <alignment horizontal="center" vertical="center"/>
    </xf>
    <xf numFmtId="2" fontId="3" fillId="4" borderId="2" xfId="0" applyNumberFormat="1" applyFont="1" applyFill="1" applyBorder="1" applyAlignment="1" applyProtection="1">
      <alignment horizontal="center" vertical="center"/>
      <protection locked="0"/>
    </xf>
    <xf numFmtId="2" fontId="3" fillId="4" borderId="4" xfId="0" applyNumberFormat="1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 wrapText="1"/>
    </xf>
    <xf numFmtId="0" fontId="0" fillId="4" borderId="0" xfId="0" applyFill="1" applyAlignment="1">
      <alignment horizontal="center" vertical="center"/>
    </xf>
    <xf numFmtId="0" fontId="0" fillId="5" borderId="3" xfId="0" applyFill="1" applyBorder="1" applyAlignment="1">
      <alignment horizontal="left" vertical="center"/>
    </xf>
    <xf numFmtId="2" fontId="0" fillId="5" borderId="3" xfId="0" applyNumberFormat="1" applyFill="1" applyBorder="1" applyAlignment="1" applyProtection="1">
      <alignment horizontal="center" vertical="center"/>
      <protection locked="0"/>
    </xf>
    <xf numFmtId="0" fontId="0" fillId="7" borderId="3" xfId="0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horizontal="center" vertical="center"/>
    </xf>
    <xf numFmtId="2" fontId="0" fillId="5" borderId="2" xfId="0" applyNumberFormat="1" applyFill="1" applyBorder="1" applyAlignment="1" applyProtection="1">
      <alignment horizontal="center" vertical="center"/>
    </xf>
    <xf numFmtId="2" fontId="0" fillId="5" borderId="3" xfId="0" applyNumberFormat="1" applyFill="1" applyBorder="1" applyAlignment="1" applyProtection="1">
      <alignment horizontal="center" vertical="center"/>
    </xf>
    <xf numFmtId="2" fontId="0" fillId="5" borderId="4" xfId="0" applyNumberFormat="1" applyFill="1" applyBorder="1" applyAlignment="1" applyProtection="1">
      <alignment horizontal="center" vertical="center"/>
    </xf>
    <xf numFmtId="0" fontId="0" fillId="5" borderId="1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11" xfId="0" applyNumberForma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left" vertical="center" wrapText="1"/>
    </xf>
    <xf numFmtId="2" fontId="3" fillId="5" borderId="3" xfId="0" applyNumberFormat="1" applyFont="1" applyFill="1" applyBorder="1" applyAlignment="1" applyProtection="1">
      <alignment horizontal="center" vertical="center"/>
      <protection locked="0"/>
    </xf>
    <xf numFmtId="2" fontId="3" fillId="5" borderId="2" xfId="0" applyNumberFormat="1" applyFont="1" applyFill="1" applyBorder="1" applyAlignment="1">
      <alignment horizontal="center" vertical="center"/>
    </xf>
    <xf numFmtId="2" fontId="3" fillId="5" borderId="3" xfId="0" applyNumberFormat="1" applyFont="1" applyFill="1" applyBorder="1" applyAlignment="1">
      <alignment horizontal="center" vertical="center"/>
    </xf>
    <xf numFmtId="2" fontId="3" fillId="5" borderId="4" xfId="0" applyNumberFormat="1" applyFont="1" applyFill="1" applyBorder="1" applyAlignment="1">
      <alignment horizontal="center" vertical="center"/>
    </xf>
    <xf numFmtId="0" fontId="0" fillId="8" borderId="2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2" fontId="4" fillId="6" borderId="16" xfId="0" applyNumberFormat="1" applyFont="1" applyFill="1" applyBorder="1" applyAlignment="1" applyProtection="1">
      <alignment horizontal="center" vertical="center"/>
    </xf>
    <xf numFmtId="2" fontId="4" fillId="6" borderId="17" xfId="0" applyNumberFormat="1" applyFont="1" applyFill="1" applyBorder="1" applyAlignment="1" applyProtection="1">
      <alignment horizontal="center" vertical="center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4" fillId="12" borderId="5" xfId="0" applyFont="1" applyFill="1" applyBorder="1" applyAlignment="1" applyProtection="1">
      <alignment horizontal="center" vertical="center"/>
      <protection locked="0"/>
    </xf>
    <xf numFmtId="0" fontId="4" fillId="12" borderId="6" xfId="0" applyFont="1" applyFill="1" applyBorder="1" applyAlignment="1" applyProtection="1">
      <alignment horizontal="center" vertical="center"/>
      <protection locked="0"/>
    </xf>
    <xf numFmtId="0" fontId="4" fillId="12" borderId="1" xfId="0" applyFont="1" applyFill="1" applyBorder="1" applyAlignment="1" applyProtection="1">
      <alignment horizontal="center" vertical="center"/>
      <protection locked="0"/>
    </xf>
    <xf numFmtId="0" fontId="4" fillId="6" borderId="2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371475</xdr:colOff>
      <xdr:row>7</xdr:row>
      <xdr:rowOff>38100</xdr:rowOff>
    </xdr:from>
    <xdr:to>
      <xdr:col>13</xdr:col>
      <xdr:colOff>9525</xdr:colOff>
      <xdr:row>9</xdr:row>
      <xdr:rowOff>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486525" y="17678400"/>
          <a:ext cx="2581275" cy="390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fr-FR" sz="1800" b="1"/>
            <a:t>MC=MSE(1-a(r+d/2+s/4))</a:t>
          </a:r>
        </a:p>
      </xdr:txBody>
    </xdr:sp>
    <xdr:clientData/>
  </xdr:twoCellAnchor>
  <xdr:twoCellAnchor>
    <xdr:from>
      <xdr:col>1</xdr:col>
      <xdr:colOff>47624</xdr:colOff>
      <xdr:row>1</xdr:row>
      <xdr:rowOff>57150</xdr:rowOff>
    </xdr:from>
    <xdr:to>
      <xdr:col>7</xdr:col>
      <xdr:colOff>247649</xdr:colOff>
      <xdr:row>16</xdr:row>
      <xdr:rowOff>123825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657224" y="16249650"/>
          <a:ext cx="5705475" cy="327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lvl="0" algn="l"/>
          <a:r>
            <a:rPr lang="fr-FR" sz="1200" b="1"/>
            <a:t>- MC:</a:t>
          </a:r>
          <a:r>
            <a:rPr lang="fr-FR" sz="1200" b="1" baseline="0"/>
            <a:t> </a:t>
          </a:r>
          <a:r>
            <a:rPr lang="fr-FR" sz="1100" baseline="0"/>
            <a:t>Moyenne de classement</a:t>
          </a:r>
        </a:p>
        <a:p>
          <a:pPr lvl="0" algn="l"/>
          <a:endParaRPr lang="fr-FR" sz="1100" baseline="0"/>
        </a:p>
        <a:p>
          <a:pPr lvl="0" algn="l"/>
          <a:r>
            <a:rPr lang="fr-FR" sz="1200" b="1" baseline="0"/>
            <a:t>- MSE: </a:t>
          </a:r>
          <a:r>
            <a:rPr lang="fr-FR" sz="1100" baseline="0"/>
            <a:t>Moyenne des moynnes des semestres concernés</a:t>
          </a:r>
        </a:p>
        <a:p>
          <a:pPr lvl="0" algn="l"/>
          <a:endParaRPr lang="fr-FR" sz="1050" baseline="0"/>
        </a:p>
        <a:p>
          <a:pPr lvl="0" algn="l"/>
          <a:r>
            <a:rPr lang="fr-FR" sz="1100" baseline="0"/>
            <a:t>MSE= ∑(MSi)/n ou MSi la moyenne du smestre i</a:t>
          </a:r>
        </a:p>
        <a:p>
          <a:pPr lvl="0" algn="l"/>
          <a:endParaRPr lang="fr-FR" sz="1100" baseline="0"/>
        </a:p>
        <a:p>
          <a:pPr lvl="0" algn="l"/>
          <a:r>
            <a:rPr lang="fr-FR" sz="1200" b="1" baseline="0"/>
            <a:t>- a: </a:t>
          </a:r>
          <a:r>
            <a:rPr lang="fr-FR" sz="1100" baseline="0"/>
            <a:t>taux d'abattement éstimé à 0.04</a:t>
          </a:r>
        </a:p>
        <a:p>
          <a:pPr lvl="0" algn="l"/>
          <a:endParaRPr lang="fr-FR" sz="1100" baseline="0"/>
        </a:p>
        <a:p>
          <a:pPr lvl="0" algn="l"/>
          <a:r>
            <a:rPr lang="fr-FR" sz="1200" b="1" baseline="0"/>
            <a:t>- r:</a:t>
          </a:r>
          <a:r>
            <a:rPr lang="fr-FR" sz="1100" baseline="0"/>
            <a:t> nombre des redoublements par année</a:t>
          </a:r>
        </a:p>
        <a:p>
          <a:pPr lvl="0" algn="l"/>
          <a:endParaRPr lang="fr-FR" sz="1100" baseline="0"/>
        </a:p>
        <a:p>
          <a:pPr lvl="0" algn="l"/>
          <a:r>
            <a:rPr lang="fr-FR" sz="1200" b="1" baseline="0"/>
            <a:t>- d: </a:t>
          </a:r>
          <a:r>
            <a:rPr lang="fr-FR" sz="1100" baseline="0"/>
            <a:t>nombre d'admission avec dettes par année</a:t>
          </a:r>
        </a:p>
        <a:p>
          <a:pPr lvl="0" algn="l"/>
          <a:endParaRPr lang="fr-FR" sz="1100" baseline="0"/>
        </a:p>
        <a:p>
          <a:pPr lvl="0" algn="l"/>
          <a:r>
            <a:rPr lang="fr-FR" sz="1200" b="1" baseline="0"/>
            <a:t>- s: </a:t>
          </a:r>
          <a:r>
            <a:rPr lang="fr-F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nombre d'admission après la session de rattrapage par semstre</a:t>
          </a:r>
        </a:p>
        <a:p>
          <a:pPr lvl="0" algn="l"/>
          <a:endParaRPr lang="fr-F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lvl="0" algn="l"/>
          <a:r>
            <a:rPr lang="fr-FR" sz="12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- n: </a:t>
          </a:r>
          <a:r>
            <a:rPr lang="fr-F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nombre des semstres concernés (n compris entre 1 et 6 pour la </a:t>
          </a:r>
        </a:p>
        <a:p>
          <a:pPr lvl="0" algn="l"/>
          <a:r>
            <a:rPr lang="fr-F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licence et n compris entre 1 et 4 pour le Master)</a:t>
          </a:r>
          <a:endParaRPr lang="fr-FR" sz="1100" baseline="0"/>
        </a:p>
        <a:p>
          <a:endParaRPr lang="fr-FR" sz="1100" baseline="0"/>
        </a:p>
        <a:p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R80"/>
  <sheetViews>
    <sheetView zoomScaleNormal="100" workbookViewId="0">
      <selection activeCell="G25" sqref="G25:G26"/>
    </sheetView>
  </sheetViews>
  <sheetFormatPr baseColWidth="10" defaultColWidth="9.1796875" defaultRowHeight="14.5" x14ac:dyDescent="0.35"/>
  <cols>
    <col min="2" max="2" width="20.7265625" bestFit="1" customWidth="1"/>
    <col min="3" max="3" width="5.7265625" customWidth="1"/>
    <col min="4" max="4" width="39" bestFit="1" customWidth="1"/>
    <col min="5" max="9" width="5.7265625" customWidth="1"/>
    <col min="10" max="10" width="9.453125" bestFit="1" customWidth="1"/>
    <col min="11" max="11" width="7.453125" bestFit="1" customWidth="1"/>
    <col min="12" max="12" width="9.453125" bestFit="1" customWidth="1"/>
    <col min="13" max="13" width="7.453125" bestFit="1" customWidth="1"/>
    <col min="15" max="15" width="26.7265625" bestFit="1" customWidth="1"/>
    <col min="16" max="16" width="17.26953125" bestFit="1" customWidth="1"/>
  </cols>
  <sheetData>
    <row r="2" spans="2:14" ht="30" customHeight="1" x14ac:dyDescent="0.35">
      <c r="B2" s="140" t="s">
        <v>0</v>
      </c>
      <c r="C2" s="89" t="s">
        <v>17</v>
      </c>
      <c r="D2" s="90"/>
      <c r="E2" s="91" t="s">
        <v>37</v>
      </c>
      <c r="F2" s="93" t="s">
        <v>38</v>
      </c>
      <c r="G2" s="89" t="s">
        <v>39</v>
      </c>
      <c r="H2" s="95"/>
      <c r="I2" s="90"/>
      <c r="J2" s="14" t="s">
        <v>43</v>
      </c>
      <c r="K2" s="15" t="s">
        <v>44</v>
      </c>
      <c r="L2" s="16" t="s">
        <v>43</v>
      </c>
      <c r="M2" s="15" t="s">
        <v>44</v>
      </c>
      <c r="N2" s="30" t="s">
        <v>84</v>
      </c>
    </row>
    <row r="3" spans="2:14" ht="15" customHeight="1" x14ac:dyDescent="0.35">
      <c r="B3" s="140"/>
      <c r="C3" s="23" t="s">
        <v>18</v>
      </c>
      <c r="D3" s="23" t="s">
        <v>19</v>
      </c>
      <c r="E3" s="92"/>
      <c r="F3" s="94"/>
      <c r="G3" s="23" t="s">
        <v>87</v>
      </c>
      <c r="H3" s="23" t="s">
        <v>42</v>
      </c>
      <c r="I3" s="23" t="s">
        <v>40</v>
      </c>
      <c r="J3" s="17" t="s">
        <v>46</v>
      </c>
      <c r="K3" s="18" t="s">
        <v>45</v>
      </c>
      <c r="L3" s="19" t="s">
        <v>47</v>
      </c>
      <c r="M3" s="17" t="s">
        <v>47</v>
      </c>
    </row>
    <row r="4" spans="2:14" x14ac:dyDescent="0.35">
      <c r="B4" s="34"/>
      <c r="C4" s="118" t="s">
        <v>20</v>
      </c>
      <c r="D4" s="126" t="s">
        <v>24</v>
      </c>
      <c r="E4" s="118">
        <v>6</v>
      </c>
      <c r="F4" s="118">
        <v>4</v>
      </c>
      <c r="G4" s="130">
        <v>0</v>
      </c>
      <c r="H4" s="130">
        <v>0</v>
      </c>
      <c r="I4" s="128" t="s">
        <v>41</v>
      </c>
      <c r="J4" s="115">
        <f>(66*G4+34*H4)/100</f>
        <v>0</v>
      </c>
      <c r="K4" s="118">
        <f>IF(J4&gt;=10,E4,0)</f>
        <v>0</v>
      </c>
      <c r="L4" s="115">
        <f>(J4*F4+J6*F6+J8*F8)/SUM(F4:F9)</f>
        <v>0</v>
      </c>
      <c r="M4" s="118">
        <f>IF(L4&gt;=10,SUM(E4:E9),SUM(K4:K9))</f>
        <v>0</v>
      </c>
    </row>
    <row r="5" spans="2:14" x14ac:dyDescent="0.35">
      <c r="B5" s="38" t="s">
        <v>1</v>
      </c>
      <c r="C5" s="120"/>
      <c r="D5" s="127"/>
      <c r="E5" s="120"/>
      <c r="F5" s="120"/>
      <c r="G5" s="131"/>
      <c r="H5" s="131"/>
      <c r="I5" s="129"/>
      <c r="J5" s="117"/>
      <c r="K5" s="120"/>
      <c r="L5" s="116"/>
      <c r="M5" s="119"/>
    </row>
    <row r="6" spans="2:14" x14ac:dyDescent="0.35">
      <c r="B6" s="4" t="s">
        <v>2</v>
      </c>
      <c r="C6" s="121" t="s">
        <v>21</v>
      </c>
      <c r="D6" s="123" t="s">
        <v>23</v>
      </c>
      <c r="E6" s="124">
        <v>5</v>
      </c>
      <c r="F6" s="118">
        <v>2</v>
      </c>
      <c r="G6" s="130">
        <v>0</v>
      </c>
      <c r="H6" s="132">
        <v>0</v>
      </c>
      <c r="I6" s="136" t="s">
        <v>41</v>
      </c>
      <c r="J6" s="134">
        <f>(G6*66+34*H6)/100</f>
        <v>0</v>
      </c>
      <c r="K6" s="135">
        <f>IF(J6&gt;=10,E8,0)</f>
        <v>0</v>
      </c>
      <c r="L6" s="116"/>
      <c r="M6" s="119"/>
    </row>
    <row r="7" spans="2:14" x14ac:dyDescent="0.35">
      <c r="B7" s="4" t="s">
        <v>3</v>
      </c>
      <c r="C7" s="122"/>
      <c r="D7" s="123"/>
      <c r="E7" s="125"/>
      <c r="F7" s="120"/>
      <c r="G7" s="131"/>
      <c r="H7" s="133"/>
      <c r="I7" s="137"/>
      <c r="J7" s="134"/>
      <c r="K7" s="135"/>
      <c r="L7" s="116"/>
      <c r="M7" s="119"/>
    </row>
    <row r="8" spans="2:14" x14ac:dyDescent="0.35">
      <c r="B8" s="4" t="s">
        <v>4</v>
      </c>
      <c r="C8" s="118" t="s">
        <v>22</v>
      </c>
      <c r="D8" s="126" t="s">
        <v>25</v>
      </c>
      <c r="E8" s="118">
        <v>6</v>
      </c>
      <c r="F8" s="118">
        <v>4</v>
      </c>
      <c r="G8" s="130">
        <v>0</v>
      </c>
      <c r="H8" s="132">
        <v>0</v>
      </c>
      <c r="I8" s="130">
        <v>0</v>
      </c>
      <c r="J8" s="134">
        <f>(G8*66+34*(H8+I8)/2)/100</f>
        <v>0</v>
      </c>
      <c r="K8" s="135">
        <f>IF(J8&gt;=10,E10,0)</f>
        <v>0</v>
      </c>
      <c r="L8" s="116"/>
      <c r="M8" s="119"/>
    </row>
    <row r="9" spans="2:14" x14ac:dyDescent="0.35">
      <c r="B9" s="37"/>
      <c r="C9" s="120"/>
      <c r="D9" s="127"/>
      <c r="E9" s="120"/>
      <c r="F9" s="120"/>
      <c r="G9" s="131"/>
      <c r="H9" s="133"/>
      <c r="I9" s="131"/>
      <c r="J9" s="134"/>
      <c r="K9" s="135"/>
      <c r="L9" s="117"/>
      <c r="M9" s="120"/>
    </row>
    <row r="10" spans="2:14" x14ac:dyDescent="0.35">
      <c r="B10" s="6" t="s">
        <v>5</v>
      </c>
      <c r="C10" s="102" t="s">
        <v>26</v>
      </c>
      <c r="D10" s="32" t="s">
        <v>29</v>
      </c>
      <c r="E10" s="102">
        <v>4</v>
      </c>
      <c r="F10" s="102">
        <v>1</v>
      </c>
      <c r="G10" s="138">
        <v>0</v>
      </c>
      <c r="H10" s="111" t="s">
        <v>41</v>
      </c>
      <c r="I10" s="111" t="s">
        <v>41</v>
      </c>
      <c r="J10" s="99">
        <f>G10</f>
        <v>0</v>
      </c>
      <c r="K10" s="102">
        <f>IF(J10&gt;=10,E10,0)</f>
        <v>0</v>
      </c>
      <c r="L10" s="99">
        <f>(J10+J12)/2</f>
        <v>0</v>
      </c>
      <c r="M10" s="102">
        <f>IF(L10&gt;=10,SUM(E10:E13),SUM(K10:K13))</f>
        <v>0</v>
      </c>
    </row>
    <row r="11" spans="2:14" x14ac:dyDescent="0.35">
      <c r="B11" s="6" t="s">
        <v>6</v>
      </c>
      <c r="C11" s="104"/>
      <c r="D11" s="33" t="s">
        <v>30</v>
      </c>
      <c r="E11" s="104"/>
      <c r="F11" s="104"/>
      <c r="G11" s="139"/>
      <c r="H11" s="112"/>
      <c r="I11" s="112"/>
      <c r="J11" s="101"/>
      <c r="K11" s="104"/>
      <c r="L11" s="100"/>
      <c r="M11" s="103"/>
    </row>
    <row r="12" spans="2:14" x14ac:dyDescent="0.35">
      <c r="B12" s="6" t="s">
        <v>7</v>
      </c>
      <c r="C12" s="102" t="s">
        <v>27</v>
      </c>
      <c r="D12" s="109" t="s">
        <v>28</v>
      </c>
      <c r="E12" s="102">
        <v>3</v>
      </c>
      <c r="F12" s="102">
        <v>1</v>
      </c>
      <c r="G12" s="111" t="s">
        <v>41</v>
      </c>
      <c r="H12" s="111" t="s">
        <v>41</v>
      </c>
      <c r="I12" s="113">
        <v>0</v>
      </c>
      <c r="J12" s="99">
        <f>I12</f>
        <v>0</v>
      </c>
      <c r="K12" s="102">
        <f t="shared" ref="K12" si="0">IF(J12&gt;=10,E12,0)</f>
        <v>0</v>
      </c>
      <c r="L12" s="100"/>
      <c r="M12" s="103"/>
    </row>
    <row r="13" spans="2:14" x14ac:dyDescent="0.35">
      <c r="B13" s="7" t="s">
        <v>8</v>
      </c>
      <c r="C13" s="104"/>
      <c r="D13" s="110"/>
      <c r="E13" s="104"/>
      <c r="F13" s="104"/>
      <c r="G13" s="112"/>
      <c r="H13" s="112"/>
      <c r="I13" s="114"/>
      <c r="J13" s="101"/>
      <c r="K13" s="104"/>
      <c r="L13" s="101"/>
      <c r="M13" s="104"/>
    </row>
    <row r="14" spans="2:14" x14ac:dyDescent="0.35">
      <c r="B14" s="12" t="s">
        <v>9</v>
      </c>
      <c r="C14" s="77" t="s">
        <v>31</v>
      </c>
      <c r="D14" s="105" t="s">
        <v>33</v>
      </c>
      <c r="E14" s="77">
        <v>2</v>
      </c>
      <c r="F14" s="77">
        <v>2</v>
      </c>
      <c r="G14" s="79">
        <v>0</v>
      </c>
      <c r="H14" s="79">
        <v>0</v>
      </c>
      <c r="I14" s="81" t="s">
        <v>41</v>
      </c>
      <c r="J14" s="83">
        <f>(66*G14+34*H14)/100</f>
        <v>0</v>
      </c>
      <c r="K14" s="77">
        <f>IF(J14&gt;=10,E14,0)</f>
        <v>0</v>
      </c>
      <c r="L14" s="83">
        <f>(J14*F14+J16*F16)/SUM(F14:F17)</f>
        <v>0</v>
      </c>
      <c r="M14" s="77">
        <f>IF(L14&gt;=10,SUM(E14:E17),SUM(K14:K17))</f>
        <v>0</v>
      </c>
    </row>
    <row r="15" spans="2:14" x14ac:dyDescent="0.35">
      <c r="B15" s="8" t="s">
        <v>10</v>
      </c>
      <c r="C15" s="78"/>
      <c r="D15" s="106"/>
      <c r="E15" s="78"/>
      <c r="F15" s="78"/>
      <c r="G15" s="80"/>
      <c r="H15" s="80"/>
      <c r="I15" s="82"/>
      <c r="J15" s="84"/>
      <c r="K15" s="78"/>
      <c r="L15" s="107"/>
      <c r="M15" s="108"/>
    </row>
    <row r="16" spans="2:14" x14ac:dyDescent="0.35">
      <c r="B16" s="8" t="s">
        <v>11</v>
      </c>
      <c r="C16" s="77" t="s">
        <v>32</v>
      </c>
      <c r="D16" s="105" t="s">
        <v>34</v>
      </c>
      <c r="E16" s="77">
        <v>2</v>
      </c>
      <c r="F16" s="77">
        <v>2</v>
      </c>
      <c r="G16" s="85">
        <v>0</v>
      </c>
      <c r="H16" s="85">
        <v>0</v>
      </c>
      <c r="I16" s="81" t="s">
        <v>41</v>
      </c>
      <c r="J16" s="83">
        <f>(66*G16+34*H16)/100</f>
        <v>0</v>
      </c>
      <c r="K16" s="77">
        <f>IF(J16&gt;=10,E16,0)</f>
        <v>0</v>
      </c>
      <c r="L16" s="107"/>
      <c r="M16" s="108"/>
    </row>
    <row r="17" spans="2:18" x14ac:dyDescent="0.35">
      <c r="B17" s="9" t="s">
        <v>12</v>
      </c>
      <c r="C17" s="78"/>
      <c r="D17" s="106"/>
      <c r="E17" s="78"/>
      <c r="F17" s="78"/>
      <c r="G17" s="86"/>
      <c r="H17" s="86"/>
      <c r="I17" s="82"/>
      <c r="J17" s="84"/>
      <c r="K17" s="78"/>
      <c r="L17" s="84"/>
      <c r="M17" s="78"/>
    </row>
    <row r="18" spans="2:18" x14ac:dyDescent="0.35">
      <c r="B18" s="13" t="s">
        <v>13</v>
      </c>
      <c r="C18" s="67" t="s">
        <v>35</v>
      </c>
      <c r="D18" s="65" t="s">
        <v>36</v>
      </c>
      <c r="E18" s="67">
        <v>2</v>
      </c>
      <c r="F18" s="67">
        <v>1</v>
      </c>
      <c r="G18" s="75">
        <v>0</v>
      </c>
      <c r="H18" s="73" t="s">
        <v>41</v>
      </c>
      <c r="I18" s="73" t="s">
        <v>41</v>
      </c>
      <c r="J18" s="69">
        <f>G18</f>
        <v>0</v>
      </c>
      <c r="K18" s="67">
        <f>IF(J18&gt;=10,E18,0)</f>
        <v>0</v>
      </c>
      <c r="L18" s="69">
        <f>J18</f>
        <v>0</v>
      </c>
      <c r="M18" s="67">
        <f>IF(L18&gt;=10,E18,K18)</f>
        <v>0</v>
      </c>
      <c r="Q18" s="3"/>
    </row>
    <row r="19" spans="2:18" x14ac:dyDescent="0.35">
      <c r="B19" s="10" t="s">
        <v>16</v>
      </c>
      <c r="C19" s="72"/>
      <c r="D19" s="96"/>
      <c r="E19" s="72"/>
      <c r="F19" s="72"/>
      <c r="G19" s="97"/>
      <c r="H19" s="98"/>
      <c r="I19" s="98"/>
      <c r="J19" s="70"/>
      <c r="K19" s="72"/>
      <c r="L19" s="70"/>
      <c r="M19" s="72"/>
    </row>
    <row r="20" spans="2:18" x14ac:dyDescent="0.35">
      <c r="B20" s="10" t="s">
        <v>14</v>
      </c>
      <c r="C20" s="72"/>
      <c r="D20" s="96"/>
      <c r="E20" s="72"/>
      <c r="F20" s="72"/>
      <c r="G20" s="97"/>
      <c r="H20" s="98"/>
      <c r="I20" s="98"/>
      <c r="J20" s="70"/>
      <c r="K20" s="72"/>
      <c r="L20" s="70"/>
      <c r="M20" s="72"/>
      <c r="O20" s="20" t="s">
        <v>77</v>
      </c>
      <c r="P20" s="21">
        <f>(L4*10+L10*2+L14*4+L18)/17</f>
        <v>0</v>
      </c>
    </row>
    <row r="21" spans="2:18" ht="15" customHeight="1" x14ac:dyDescent="0.35">
      <c r="B21" s="11" t="s">
        <v>15</v>
      </c>
      <c r="C21" s="68"/>
      <c r="D21" s="66"/>
      <c r="E21" s="68"/>
      <c r="F21" s="68"/>
      <c r="G21" s="76"/>
      <c r="H21" s="74"/>
      <c r="I21" s="74"/>
      <c r="J21" s="71"/>
      <c r="K21" s="68"/>
      <c r="L21" s="71"/>
      <c r="M21" s="68"/>
      <c r="O21" s="20" t="s">
        <v>79</v>
      </c>
      <c r="P21" s="22">
        <f>IF(P20&gt;=10,30,SUM(M4:M21))</f>
        <v>0</v>
      </c>
    </row>
    <row r="22" spans="2:18" x14ac:dyDescent="0.35">
      <c r="B22" s="2" t="s">
        <v>139</v>
      </c>
      <c r="C22" s="2"/>
      <c r="D22" s="1"/>
      <c r="E22" t="s">
        <v>91</v>
      </c>
      <c r="L22" s="41" t="s">
        <v>90</v>
      </c>
      <c r="M22" t="s">
        <v>217</v>
      </c>
    </row>
    <row r="23" spans="2:18" ht="30" customHeight="1" x14ac:dyDescent="0.35">
      <c r="B23" s="87" t="s">
        <v>0</v>
      </c>
      <c r="C23" s="89" t="s">
        <v>17</v>
      </c>
      <c r="D23" s="90"/>
      <c r="E23" s="91" t="s">
        <v>37</v>
      </c>
      <c r="F23" s="93" t="s">
        <v>38</v>
      </c>
      <c r="G23" s="89" t="s">
        <v>39</v>
      </c>
      <c r="H23" s="95"/>
      <c r="I23" s="90"/>
      <c r="J23" s="14" t="s">
        <v>43</v>
      </c>
      <c r="K23" s="15" t="s">
        <v>44</v>
      </c>
      <c r="L23" s="16" t="s">
        <v>43</v>
      </c>
      <c r="M23" s="15" t="s">
        <v>44</v>
      </c>
      <c r="N23" s="30" t="s">
        <v>85</v>
      </c>
    </row>
    <row r="24" spans="2:18" x14ac:dyDescent="0.35">
      <c r="B24" s="88"/>
      <c r="C24" s="31" t="s">
        <v>18</v>
      </c>
      <c r="D24" s="31" t="s">
        <v>19</v>
      </c>
      <c r="E24" s="92"/>
      <c r="F24" s="94"/>
      <c r="G24" s="31" t="s">
        <v>87</v>
      </c>
      <c r="H24" s="31" t="s">
        <v>42</v>
      </c>
      <c r="I24" s="31" t="s">
        <v>40</v>
      </c>
      <c r="J24" s="17" t="s">
        <v>46</v>
      </c>
      <c r="K24" s="18" t="s">
        <v>45</v>
      </c>
      <c r="L24" s="19" t="s">
        <v>47</v>
      </c>
      <c r="M24" s="17" t="s">
        <v>47</v>
      </c>
    </row>
    <row r="25" spans="2:18" x14ac:dyDescent="0.35">
      <c r="B25" s="39"/>
      <c r="C25" s="118" t="s">
        <v>51</v>
      </c>
      <c r="D25" s="126" t="s">
        <v>54</v>
      </c>
      <c r="E25" s="118">
        <v>4</v>
      </c>
      <c r="F25" s="118">
        <v>2</v>
      </c>
      <c r="G25" s="130">
        <v>0</v>
      </c>
      <c r="H25" s="130">
        <v>0</v>
      </c>
      <c r="I25" s="128" t="s">
        <v>41</v>
      </c>
      <c r="J25" s="115">
        <f>(66*G25+34*H25)/100</f>
        <v>0</v>
      </c>
      <c r="K25" s="118">
        <f>IF(J25&gt;=10,E25,0)</f>
        <v>0</v>
      </c>
      <c r="L25" s="115">
        <f>(J25*F25+J27*F27+J29*F29)/SUM(F25:F30)</f>
        <v>0</v>
      </c>
      <c r="M25" s="118">
        <f>IF(L25&gt;=10,SUM(E25:E30),SUM(K25:K30))</f>
        <v>0</v>
      </c>
    </row>
    <row r="26" spans="2:18" x14ac:dyDescent="0.35">
      <c r="B26" s="38" t="s">
        <v>1</v>
      </c>
      <c r="C26" s="120"/>
      <c r="D26" s="127"/>
      <c r="E26" s="120"/>
      <c r="F26" s="120"/>
      <c r="G26" s="131"/>
      <c r="H26" s="131"/>
      <c r="I26" s="129"/>
      <c r="J26" s="117"/>
      <c r="K26" s="120"/>
      <c r="L26" s="116"/>
      <c r="M26" s="119"/>
      <c r="R26" s="40"/>
    </row>
    <row r="27" spans="2:18" x14ac:dyDescent="0.35">
      <c r="B27" s="4" t="s">
        <v>48</v>
      </c>
      <c r="C27" s="118" t="s">
        <v>52</v>
      </c>
      <c r="D27" s="126" t="s">
        <v>55</v>
      </c>
      <c r="E27" s="118">
        <v>4</v>
      </c>
      <c r="F27" s="118">
        <v>2</v>
      </c>
      <c r="G27" s="130">
        <v>0</v>
      </c>
      <c r="H27" s="132">
        <v>0</v>
      </c>
      <c r="I27" s="136" t="s">
        <v>41</v>
      </c>
      <c r="J27" s="115">
        <f>(G27*66+34*H27)/100</f>
        <v>0</v>
      </c>
      <c r="K27" s="118">
        <f>IF(J27&gt;=10,E27,0)</f>
        <v>0</v>
      </c>
      <c r="L27" s="116"/>
      <c r="M27" s="119"/>
    </row>
    <row r="28" spans="2:18" x14ac:dyDescent="0.35">
      <c r="B28" s="4" t="s">
        <v>49</v>
      </c>
      <c r="C28" s="120"/>
      <c r="D28" s="127"/>
      <c r="E28" s="120"/>
      <c r="F28" s="120"/>
      <c r="G28" s="131"/>
      <c r="H28" s="133"/>
      <c r="I28" s="137"/>
      <c r="J28" s="117"/>
      <c r="K28" s="120"/>
      <c r="L28" s="116"/>
      <c r="M28" s="119"/>
    </row>
    <row r="29" spans="2:18" x14ac:dyDescent="0.35">
      <c r="B29" s="4" t="s">
        <v>50</v>
      </c>
      <c r="C29" s="118" t="s">
        <v>53</v>
      </c>
      <c r="D29" s="27" t="s">
        <v>61</v>
      </c>
      <c r="E29" s="118">
        <v>3</v>
      </c>
      <c r="F29" s="118">
        <v>1</v>
      </c>
      <c r="G29" s="130">
        <v>0</v>
      </c>
      <c r="H29" s="132">
        <v>0</v>
      </c>
      <c r="I29" s="136" t="s">
        <v>41</v>
      </c>
      <c r="J29" s="115">
        <f>(G29*66+34*H29)/100</f>
        <v>0</v>
      </c>
      <c r="K29" s="118">
        <f>IF(J29&gt;=10,E29,0)</f>
        <v>0</v>
      </c>
      <c r="L29" s="116"/>
      <c r="M29" s="119"/>
    </row>
    <row r="30" spans="2:18" x14ac:dyDescent="0.35">
      <c r="B30" s="5"/>
      <c r="C30" s="120"/>
      <c r="D30" s="24" t="s">
        <v>56</v>
      </c>
      <c r="E30" s="120"/>
      <c r="F30" s="120"/>
      <c r="G30" s="131"/>
      <c r="H30" s="133"/>
      <c r="I30" s="137"/>
      <c r="J30" s="117"/>
      <c r="K30" s="120"/>
      <c r="L30" s="117"/>
      <c r="M30" s="120"/>
      <c r="O30" s="42"/>
    </row>
    <row r="31" spans="2:18" x14ac:dyDescent="0.35">
      <c r="B31" s="32" t="s">
        <v>1</v>
      </c>
      <c r="C31" s="102" t="s">
        <v>59</v>
      </c>
      <c r="D31" s="109" t="s">
        <v>62</v>
      </c>
      <c r="E31" s="102">
        <v>5</v>
      </c>
      <c r="F31" s="102">
        <v>3</v>
      </c>
      <c r="G31" s="138">
        <v>0</v>
      </c>
      <c r="H31" s="113">
        <v>0</v>
      </c>
      <c r="I31" s="113">
        <v>0</v>
      </c>
      <c r="J31" s="99">
        <f>(66*G31+34*(H31+I31)/2)/100</f>
        <v>0</v>
      </c>
      <c r="K31" s="102">
        <f>IF(J31&gt;=10,E31,0)</f>
        <v>0</v>
      </c>
      <c r="L31" s="99">
        <f>(J31*F31+J33*F33)/SUM(F31:F34)</f>
        <v>0</v>
      </c>
      <c r="M31" s="102">
        <f>IF(L31&gt;=10,SUM(E31:E34),SUM(K31:K34))</f>
        <v>0</v>
      </c>
    </row>
    <row r="32" spans="2:18" x14ac:dyDescent="0.35">
      <c r="B32" s="6" t="s">
        <v>57</v>
      </c>
      <c r="C32" s="104"/>
      <c r="D32" s="110"/>
      <c r="E32" s="104"/>
      <c r="F32" s="104"/>
      <c r="G32" s="139"/>
      <c r="H32" s="114"/>
      <c r="I32" s="114"/>
      <c r="J32" s="101"/>
      <c r="K32" s="104"/>
      <c r="L32" s="100"/>
      <c r="M32" s="103"/>
    </row>
    <row r="33" spans="2:16" x14ac:dyDescent="0.35">
      <c r="B33" s="6" t="s">
        <v>58</v>
      </c>
      <c r="C33" s="102" t="s">
        <v>60</v>
      </c>
      <c r="D33" s="109" t="s">
        <v>63</v>
      </c>
      <c r="E33" s="102">
        <v>4</v>
      </c>
      <c r="F33" s="102">
        <v>2</v>
      </c>
      <c r="G33" s="138">
        <v>0</v>
      </c>
      <c r="H33" s="138">
        <v>0</v>
      </c>
      <c r="I33" s="111" t="s">
        <v>41</v>
      </c>
      <c r="J33" s="99">
        <f>(66*G33+34*H33)/100</f>
        <v>0</v>
      </c>
      <c r="K33" s="102">
        <f>IF(J33&gt;=10,E33,0)</f>
        <v>0</v>
      </c>
      <c r="L33" s="100"/>
      <c r="M33" s="103"/>
    </row>
    <row r="34" spans="2:16" x14ac:dyDescent="0.35">
      <c r="B34" s="7" t="s">
        <v>50</v>
      </c>
      <c r="C34" s="104"/>
      <c r="D34" s="110"/>
      <c r="E34" s="104"/>
      <c r="F34" s="104"/>
      <c r="G34" s="139"/>
      <c r="H34" s="139"/>
      <c r="I34" s="112"/>
      <c r="J34" s="101"/>
      <c r="K34" s="104"/>
      <c r="L34" s="101"/>
      <c r="M34" s="104"/>
    </row>
    <row r="35" spans="2:16" x14ac:dyDescent="0.35">
      <c r="B35" s="12" t="s">
        <v>5</v>
      </c>
      <c r="C35" s="77" t="s">
        <v>66</v>
      </c>
      <c r="D35" s="35" t="s">
        <v>82</v>
      </c>
      <c r="E35" s="77">
        <v>4</v>
      </c>
      <c r="F35" s="77">
        <v>2</v>
      </c>
      <c r="G35" s="79">
        <v>0</v>
      </c>
      <c r="H35" s="81" t="s">
        <v>41</v>
      </c>
      <c r="I35" s="81" t="s">
        <v>41</v>
      </c>
      <c r="J35" s="83">
        <f>G35</f>
        <v>0</v>
      </c>
      <c r="K35" s="77">
        <f>IF(J35&gt;=10,E35,0)</f>
        <v>0</v>
      </c>
      <c r="L35" s="83">
        <f>(J35*F35+J37*F37)/SUM(F35:F38)</f>
        <v>0</v>
      </c>
      <c r="M35" s="77">
        <f>IF(L35&gt;=10,SUM(E35:E38),SUM(K35:K38))</f>
        <v>0</v>
      </c>
    </row>
    <row r="36" spans="2:16" x14ac:dyDescent="0.35">
      <c r="B36" s="8" t="s">
        <v>64</v>
      </c>
      <c r="C36" s="78"/>
      <c r="D36" s="36" t="s">
        <v>83</v>
      </c>
      <c r="E36" s="78"/>
      <c r="F36" s="78"/>
      <c r="G36" s="80"/>
      <c r="H36" s="82"/>
      <c r="I36" s="82"/>
      <c r="J36" s="84"/>
      <c r="K36" s="78"/>
      <c r="L36" s="107"/>
      <c r="M36" s="108"/>
    </row>
    <row r="37" spans="2:16" x14ac:dyDescent="0.35">
      <c r="B37" s="8" t="s">
        <v>7</v>
      </c>
      <c r="C37" s="77" t="s">
        <v>67</v>
      </c>
      <c r="D37" s="25" t="s">
        <v>68</v>
      </c>
      <c r="E37" s="77">
        <v>3</v>
      </c>
      <c r="F37" s="77">
        <v>1</v>
      </c>
      <c r="G37" s="85">
        <v>0</v>
      </c>
      <c r="H37" s="81" t="s">
        <v>41</v>
      </c>
      <c r="I37" s="85">
        <v>0</v>
      </c>
      <c r="J37" s="83">
        <f>(66*G37+34*I37)/100</f>
        <v>0</v>
      </c>
      <c r="K37" s="77">
        <f>IF(J37&gt;=10,E37,0)</f>
        <v>0</v>
      </c>
      <c r="L37" s="107"/>
      <c r="M37" s="108"/>
      <c r="O37" s="20" t="s">
        <v>78</v>
      </c>
      <c r="P37" s="21">
        <f>(L25*5+L31*5+L35*3+L39*3)/16</f>
        <v>0</v>
      </c>
    </row>
    <row r="38" spans="2:16" x14ac:dyDescent="0.35">
      <c r="B38" s="9" t="s">
        <v>65</v>
      </c>
      <c r="C38" s="78"/>
      <c r="D38" s="26" t="s">
        <v>86</v>
      </c>
      <c r="E38" s="78"/>
      <c r="F38" s="78"/>
      <c r="G38" s="86"/>
      <c r="H38" s="82"/>
      <c r="I38" s="86"/>
      <c r="J38" s="84"/>
      <c r="K38" s="78"/>
      <c r="L38" s="84"/>
      <c r="M38" s="78"/>
      <c r="O38" s="20" t="s">
        <v>80</v>
      </c>
      <c r="P38" s="22">
        <f>IF(P37&gt;=10,30,SUM(M25:M42))</f>
        <v>0</v>
      </c>
    </row>
    <row r="39" spans="2:16" x14ac:dyDescent="0.35">
      <c r="B39" s="13" t="s">
        <v>13</v>
      </c>
      <c r="C39" s="67" t="s">
        <v>71</v>
      </c>
      <c r="D39" s="65" t="s">
        <v>73</v>
      </c>
      <c r="E39" s="67">
        <v>2</v>
      </c>
      <c r="F39" s="67">
        <v>2</v>
      </c>
      <c r="G39" s="75">
        <v>0</v>
      </c>
      <c r="H39" s="75">
        <v>0</v>
      </c>
      <c r="I39" s="73" t="s">
        <v>41</v>
      </c>
      <c r="J39" s="69">
        <f>(66*G39+34*H39)/100</f>
        <v>0</v>
      </c>
      <c r="K39" s="67">
        <f>IF(J39&gt;=10,E39,0)</f>
        <v>0</v>
      </c>
      <c r="L39" s="69">
        <f>(J39*F39+J41*F41)/SUM(F39:F42)</f>
        <v>0</v>
      </c>
      <c r="M39" s="67">
        <f>IF(L39&gt;=10,SUM(E39:E42),SUM(K39:K42))</f>
        <v>0</v>
      </c>
    </row>
    <row r="40" spans="2:16" x14ac:dyDescent="0.35">
      <c r="B40" s="10" t="s">
        <v>69</v>
      </c>
      <c r="C40" s="68"/>
      <c r="D40" s="66"/>
      <c r="E40" s="68"/>
      <c r="F40" s="68"/>
      <c r="G40" s="76"/>
      <c r="H40" s="76"/>
      <c r="I40" s="74"/>
      <c r="J40" s="71"/>
      <c r="K40" s="68"/>
      <c r="L40" s="70"/>
      <c r="M40" s="72"/>
      <c r="O40" s="28" t="s">
        <v>75</v>
      </c>
      <c r="P40" s="29">
        <f>(L4*10+L10*2+L14*4+L18+L25*5+L31*5+L35*3+L39*3)/33</f>
        <v>0</v>
      </c>
    </row>
    <row r="41" spans="2:16" x14ac:dyDescent="0.35">
      <c r="B41" s="10" t="s">
        <v>70</v>
      </c>
      <c r="C41" s="67" t="s">
        <v>72</v>
      </c>
      <c r="D41" s="65" t="s">
        <v>74</v>
      </c>
      <c r="E41" s="67">
        <v>1</v>
      </c>
      <c r="F41" s="67">
        <v>1</v>
      </c>
      <c r="G41" s="75">
        <v>0</v>
      </c>
      <c r="H41" s="73" t="s">
        <v>41</v>
      </c>
      <c r="I41" s="73" t="s">
        <v>41</v>
      </c>
      <c r="J41" s="69">
        <f>G41</f>
        <v>0</v>
      </c>
      <c r="K41" s="67">
        <f>IF(J41&gt;=10,E41,0)</f>
        <v>0</v>
      </c>
      <c r="L41" s="70"/>
      <c r="M41" s="72"/>
      <c r="O41" s="28" t="s">
        <v>81</v>
      </c>
      <c r="P41" s="22">
        <f>IF(P40&gt;=10,60,P21+P38)</f>
        <v>0</v>
      </c>
    </row>
    <row r="42" spans="2:16" x14ac:dyDescent="0.35">
      <c r="B42" s="11" t="s">
        <v>65</v>
      </c>
      <c r="C42" s="68"/>
      <c r="D42" s="66"/>
      <c r="E42" s="68"/>
      <c r="F42" s="68"/>
      <c r="G42" s="76"/>
      <c r="H42" s="74"/>
      <c r="I42" s="74"/>
      <c r="J42" s="71"/>
      <c r="K42" s="68"/>
      <c r="L42" s="71"/>
      <c r="M42" s="68"/>
      <c r="O42" s="28" t="s">
        <v>76</v>
      </c>
      <c r="P42" s="30" t="str">
        <f>IF(P40&gt;=10,"Admis",IF(AND(P41&gt;=30,OR(AND(P21&gt;=10,P38&gt;=20),AND(P21&gt;=20,P38&gt;=10))),"Admis avec dettes","Ajournée"))</f>
        <v>Ajournée</v>
      </c>
    </row>
    <row r="44" spans="2:16" ht="15" customHeight="1" x14ac:dyDescent="0.35">
      <c r="L44" s="40"/>
      <c r="M44" s="40"/>
    </row>
    <row r="45" spans="2:16" x14ac:dyDescent="0.35">
      <c r="L45" s="40"/>
      <c r="M45" s="40"/>
    </row>
    <row r="46" spans="2:16" x14ac:dyDescent="0.35">
      <c r="L46" s="40"/>
      <c r="M46" s="40"/>
    </row>
    <row r="47" spans="2:16" x14ac:dyDescent="0.35">
      <c r="L47" s="40"/>
      <c r="M47" s="40"/>
    </row>
    <row r="48" spans="2:16" x14ac:dyDescent="0.35">
      <c r="L48" s="40"/>
      <c r="M48" s="40"/>
    </row>
    <row r="49" spans="12:13" x14ac:dyDescent="0.35">
      <c r="L49" s="40"/>
      <c r="M49" s="40"/>
    </row>
    <row r="63" spans="12:13" ht="15" customHeight="1" x14ac:dyDescent="0.35"/>
    <row r="64" spans="12:13" ht="15" customHeight="1" x14ac:dyDescent="0.35"/>
    <row r="65" spans="3:13" x14ac:dyDescent="0.35"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</row>
    <row r="66" spans="3:13" x14ac:dyDescent="0.35"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</row>
    <row r="67" spans="3:13" x14ac:dyDescent="0.35"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</row>
    <row r="68" spans="3:13" x14ac:dyDescent="0.35"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</row>
    <row r="69" spans="3:13" x14ac:dyDescent="0.35"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</row>
    <row r="70" spans="3:13" x14ac:dyDescent="0.35"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</row>
    <row r="71" spans="3:13" x14ac:dyDescent="0.35"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</row>
    <row r="72" spans="3:13" x14ac:dyDescent="0.35"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</row>
    <row r="73" spans="3:13" x14ac:dyDescent="0.35"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</row>
    <row r="74" spans="3:13" x14ac:dyDescent="0.35"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</row>
    <row r="75" spans="3:13" x14ac:dyDescent="0.35"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</row>
    <row r="76" spans="3:13" x14ac:dyDescent="0.35"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</row>
    <row r="77" spans="3:13" x14ac:dyDescent="0.35">
      <c r="C77" s="40"/>
      <c r="E77" s="40"/>
      <c r="F77" s="40"/>
      <c r="G77" s="40"/>
      <c r="H77" s="40"/>
      <c r="I77" s="40"/>
      <c r="J77" s="40"/>
      <c r="K77" s="40"/>
      <c r="L77" s="40"/>
      <c r="M77" s="40"/>
    </row>
    <row r="78" spans="3:13" x14ac:dyDescent="0.35">
      <c r="C78" s="40"/>
      <c r="E78" s="40"/>
      <c r="F78" s="40"/>
      <c r="G78" s="40"/>
      <c r="H78" s="40"/>
      <c r="I78" s="40"/>
      <c r="J78" s="40"/>
      <c r="K78" s="40"/>
      <c r="L78" s="40"/>
      <c r="M78" s="40"/>
    </row>
    <row r="79" spans="3:13" x14ac:dyDescent="0.35"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</row>
    <row r="80" spans="3:13" x14ac:dyDescent="0.35"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</row>
  </sheetData>
  <sheetProtection algorithmName="SHA-512" hashValue="ra0StYMMU4Rk/VFKb/g9Mx05O2upJX/wIPObX7s9jNnpfqrv2COA5/Qb/p8nqY53Bdfr6c4QBlwGM8jD+fWxTQ==" saltValue="83sWJyos/ASU5UnJVkQQ8Q==" spinCount="100000" sheet="1" objects="1" scenarios="1" selectLockedCells="1"/>
  <mergeCells count="175">
    <mergeCell ref="J14:J15"/>
    <mergeCell ref="K14:K15"/>
    <mergeCell ref="F14:F15"/>
    <mergeCell ref="G14:G15"/>
    <mergeCell ref="G10:G11"/>
    <mergeCell ref="K12:K13"/>
    <mergeCell ref="H12:H13"/>
    <mergeCell ref="B2:B3"/>
    <mergeCell ref="C2:D2"/>
    <mergeCell ref="E2:E3"/>
    <mergeCell ref="F2:F3"/>
    <mergeCell ref="G2:I2"/>
    <mergeCell ref="C8:C9"/>
    <mergeCell ref="D8:D9"/>
    <mergeCell ref="E8:E9"/>
    <mergeCell ref="F6:F7"/>
    <mergeCell ref="G6:G7"/>
    <mergeCell ref="H6:H7"/>
    <mergeCell ref="I6:I7"/>
    <mergeCell ref="I10:I11"/>
    <mergeCell ref="J10:J11"/>
    <mergeCell ref="K10:K11"/>
    <mergeCell ref="C10:C11"/>
    <mergeCell ref="E10:E11"/>
    <mergeCell ref="F10:F11"/>
    <mergeCell ref="L35:L38"/>
    <mergeCell ref="J25:J26"/>
    <mergeCell ref="J27:J28"/>
    <mergeCell ref="J29:J30"/>
    <mergeCell ref="J31:J32"/>
    <mergeCell ref="J33:J34"/>
    <mergeCell ref="H29:H30"/>
    <mergeCell ref="I29:I30"/>
    <mergeCell ref="G31:G32"/>
    <mergeCell ref="H31:H32"/>
    <mergeCell ref="I31:I32"/>
    <mergeCell ref="G33:G34"/>
    <mergeCell ref="H33:H34"/>
    <mergeCell ref="I33:I34"/>
    <mergeCell ref="G25:G26"/>
    <mergeCell ref="H25:H26"/>
    <mergeCell ref="H14:H15"/>
    <mergeCell ref="I14:I15"/>
    <mergeCell ref="I25:I26"/>
    <mergeCell ref="G27:G28"/>
    <mergeCell ref="H27:H28"/>
    <mergeCell ref="I27:I28"/>
    <mergeCell ref="G29:G30"/>
    <mergeCell ref="M31:M34"/>
    <mergeCell ref="M35:M38"/>
    <mergeCell ref="K25:K26"/>
    <mergeCell ref="K27:K28"/>
    <mergeCell ref="K29:K30"/>
    <mergeCell ref="K31:K32"/>
    <mergeCell ref="K33:K34"/>
    <mergeCell ref="L31:L34"/>
    <mergeCell ref="L25:L30"/>
    <mergeCell ref="M25:M30"/>
    <mergeCell ref="F25:F26"/>
    <mergeCell ref="F27:F28"/>
    <mergeCell ref="F29:F30"/>
    <mergeCell ref="C25:C26"/>
    <mergeCell ref="C27:C28"/>
    <mergeCell ref="F31:F32"/>
    <mergeCell ref="F33:F34"/>
    <mergeCell ref="E25:E26"/>
    <mergeCell ref="E27:E28"/>
    <mergeCell ref="E29:E30"/>
    <mergeCell ref="E31:E32"/>
    <mergeCell ref="E33:E34"/>
    <mergeCell ref="C29:C30"/>
    <mergeCell ref="C31:C32"/>
    <mergeCell ref="C33:C34"/>
    <mergeCell ref="D27:D28"/>
    <mergeCell ref="D25:D26"/>
    <mergeCell ref="D31:D32"/>
    <mergeCell ref="D33:D34"/>
    <mergeCell ref="L4:L9"/>
    <mergeCell ref="M4:M9"/>
    <mergeCell ref="C6:C7"/>
    <mergeCell ref="D6:D7"/>
    <mergeCell ref="E6:E7"/>
    <mergeCell ref="C4:C5"/>
    <mergeCell ref="D4:D5"/>
    <mergeCell ref="E4:E5"/>
    <mergeCell ref="I4:I5"/>
    <mergeCell ref="H4:H5"/>
    <mergeCell ref="G4:G5"/>
    <mergeCell ref="F4:F5"/>
    <mergeCell ref="J4:J5"/>
    <mergeCell ref="K4:K5"/>
    <mergeCell ref="F8:F9"/>
    <mergeCell ref="G8:G9"/>
    <mergeCell ref="H8:H9"/>
    <mergeCell ref="I8:I9"/>
    <mergeCell ref="J8:J9"/>
    <mergeCell ref="K8:K9"/>
    <mergeCell ref="J6:J7"/>
    <mergeCell ref="K6:K7"/>
    <mergeCell ref="L10:L13"/>
    <mergeCell ref="M10:M13"/>
    <mergeCell ref="C16:C17"/>
    <mergeCell ref="D16:D17"/>
    <mergeCell ref="E16:E17"/>
    <mergeCell ref="F16:F17"/>
    <mergeCell ref="G16:G17"/>
    <mergeCell ref="H16:H17"/>
    <mergeCell ref="I16:I17"/>
    <mergeCell ref="J16:J17"/>
    <mergeCell ref="K16:K17"/>
    <mergeCell ref="L14:L17"/>
    <mergeCell ref="M14:M17"/>
    <mergeCell ref="C14:C15"/>
    <mergeCell ref="D14:D15"/>
    <mergeCell ref="E14:E15"/>
    <mergeCell ref="C12:C13"/>
    <mergeCell ref="D12:D13"/>
    <mergeCell ref="E12:E13"/>
    <mergeCell ref="F12:F13"/>
    <mergeCell ref="G12:G13"/>
    <mergeCell ref="H10:H11"/>
    <mergeCell ref="I12:I13"/>
    <mergeCell ref="J12:J13"/>
    <mergeCell ref="J18:J21"/>
    <mergeCell ref="K18:K21"/>
    <mergeCell ref="L18:L21"/>
    <mergeCell ref="M18:M21"/>
    <mergeCell ref="B23:B24"/>
    <mergeCell ref="C23:D23"/>
    <mergeCell ref="E23:E24"/>
    <mergeCell ref="F23:F24"/>
    <mergeCell ref="G23:I23"/>
    <mergeCell ref="C18:C21"/>
    <mergeCell ref="D18:D21"/>
    <mergeCell ref="E18:E21"/>
    <mergeCell ref="F18:F21"/>
    <mergeCell ref="G18:G21"/>
    <mergeCell ref="H18:H21"/>
    <mergeCell ref="I18:I21"/>
    <mergeCell ref="C35:C36"/>
    <mergeCell ref="E35:E36"/>
    <mergeCell ref="F35:F36"/>
    <mergeCell ref="G35:G36"/>
    <mergeCell ref="H35:H36"/>
    <mergeCell ref="I35:I36"/>
    <mergeCell ref="J35:J36"/>
    <mergeCell ref="K35:K36"/>
    <mergeCell ref="K37:K38"/>
    <mergeCell ref="J37:J38"/>
    <mergeCell ref="I37:I38"/>
    <mergeCell ref="H37:H38"/>
    <mergeCell ref="G37:G38"/>
    <mergeCell ref="F37:F38"/>
    <mergeCell ref="E37:E38"/>
    <mergeCell ref="C37:C38"/>
    <mergeCell ref="D41:D42"/>
    <mergeCell ref="C41:C42"/>
    <mergeCell ref="L39:L42"/>
    <mergeCell ref="M39:M42"/>
    <mergeCell ref="K41:K42"/>
    <mergeCell ref="J41:J42"/>
    <mergeCell ref="I41:I42"/>
    <mergeCell ref="H41:H42"/>
    <mergeCell ref="G41:G42"/>
    <mergeCell ref="F41:F42"/>
    <mergeCell ref="E41:E42"/>
    <mergeCell ref="C39:C40"/>
    <mergeCell ref="D39:D40"/>
    <mergeCell ref="E39:E40"/>
    <mergeCell ref="F39:F40"/>
    <mergeCell ref="G39:G40"/>
    <mergeCell ref="H39:H40"/>
    <mergeCell ref="I39:I40"/>
    <mergeCell ref="J39:J40"/>
    <mergeCell ref="K39:K40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1:P57"/>
  <sheetViews>
    <sheetView workbookViewId="0">
      <selection activeCell="G23" sqref="G23:G24"/>
    </sheetView>
  </sheetViews>
  <sheetFormatPr baseColWidth="10" defaultColWidth="9.1796875" defaultRowHeight="14.5" x14ac:dyDescent="0.35"/>
  <cols>
    <col min="2" max="2" width="20.7265625" bestFit="1" customWidth="1"/>
    <col min="3" max="3" width="5.7265625" customWidth="1"/>
    <col min="4" max="4" width="39" bestFit="1" customWidth="1"/>
    <col min="5" max="9" width="5.7265625" customWidth="1"/>
    <col min="10" max="10" width="9.453125" bestFit="1" customWidth="1"/>
    <col min="11" max="11" width="7.453125" bestFit="1" customWidth="1"/>
    <col min="12" max="12" width="9.453125" bestFit="1" customWidth="1"/>
    <col min="13" max="13" width="7.453125" bestFit="1" customWidth="1"/>
    <col min="15" max="15" width="29.81640625" bestFit="1" customWidth="1"/>
    <col min="16" max="16" width="17.26953125" bestFit="1" customWidth="1"/>
  </cols>
  <sheetData>
    <row r="1" spans="2:14" x14ac:dyDescent="0.35">
      <c r="B1" s="2"/>
      <c r="C1" s="2"/>
      <c r="D1" s="1"/>
      <c r="L1" s="41"/>
    </row>
    <row r="2" spans="2:14" ht="30" customHeight="1" x14ac:dyDescent="0.35">
      <c r="B2" s="87" t="s">
        <v>0</v>
      </c>
      <c r="C2" s="89" t="s">
        <v>17</v>
      </c>
      <c r="D2" s="90"/>
      <c r="E2" s="91" t="s">
        <v>37</v>
      </c>
      <c r="F2" s="93" t="s">
        <v>38</v>
      </c>
      <c r="G2" s="89" t="s">
        <v>39</v>
      </c>
      <c r="H2" s="95"/>
      <c r="I2" s="90"/>
      <c r="J2" s="14" t="s">
        <v>43</v>
      </c>
      <c r="K2" s="15" t="s">
        <v>44</v>
      </c>
      <c r="L2" s="16" t="s">
        <v>43</v>
      </c>
      <c r="M2" s="15" t="s">
        <v>44</v>
      </c>
      <c r="N2" s="30" t="s">
        <v>88</v>
      </c>
    </row>
    <row r="3" spans="2:14" x14ac:dyDescent="0.35">
      <c r="B3" s="88"/>
      <c r="C3" s="46" t="s">
        <v>18</v>
      </c>
      <c r="D3" s="46" t="s">
        <v>19</v>
      </c>
      <c r="E3" s="92"/>
      <c r="F3" s="94"/>
      <c r="G3" s="46" t="s">
        <v>87</v>
      </c>
      <c r="H3" s="46" t="s">
        <v>42</v>
      </c>
      <c r="I3" s="46" t="s">
        <v>40</v>
      </c>
      <c r="J3" s="17" t="s">
        <v>46</v>
      </c>
      <c r="K3" s="18" t="s">
        <v>45</v>
      </c>
      <c r="L3" s="44" t="s">
        <v>47</v>
      </c>
      <c r="M3" s="17" t="s">
        <v>47</v>
      </c>
    </row>
    <row r="4" spans="2:14" x14ac:dyDescent="0.35">
      <c r="B4" s="45"/>
      <c r="C4" s="124" t="s">
        <v>93</v>
      </c>
      <c r="D4" s="126" t="s">
        <v>94</v>
      </c>
      <c r="E4" s="118">
        <v>5</v>
      </c>
      <c r="F4" s="118">
        <v>2</v>
      </c>
      <c r="G4" s="130">
        <v>0</v>
      </c>
      <c r="H4" s="128" t="s">
        <v>41</v>
      </c>
      <c r="I4" s="132">
        <v>0</v>
      </c>
      <c r="J4" s="115">
        <f>(66*G4+34*I4)/100</f>
        <v>0</v>
      </c>
      <c r="K4" s="118">
        <f>IF(J4&gt;=10,E4,0)</f>
        <v>0</v>
      </c>
      <c r="L4" s="115">
        <f>(J4*F4+J6*F6+J8*F8)/SUM(F4:F9)</f>
        <v>0</v>
      </c>
      <c r="M4" s="118">
        <f>IF(L4&gt;=10,SUM(E4:E9),SUM(K4:K9))</f>
        <v>0</v>
      </c>
    </row>
    <row r="5" spans="2:14" x14ac:dyDescent="0.35">
      <c r="B5" s="38" t="s">
        <v>1</v>
      </c>
      <c r="C5" s="125"/>
      <c r="D5" s="127"/>
      <c r="E5" s="120"/>
      <c r="F5" s="120"/>
      <c r="G5" s="131"/>
      <c r="H5" s="129"/>
      <c r="I5" s="133"/>
      <c r="J5" s="117"/>
      <c r="K5" s="120"/>
      <c r="L5" s="116"/>
      <c r="M5" s="119"/>
    </row>
    <row r="6" spans="2:14" x14ac:dyDescent="0.35">
      <c r="B6" s="4" t="s">
        <v>95</v>
      </c>
      <c r="C6" s="124" t="s">
        <v>96</v>
      </c>
      <c r="D6" s="141" t="s">
        <v>97</v>
      </c>
      <c r="E6" s="118">
        <v>6</v>
      </c>
      <c r="F6" s="118">
        <v>3</v>
      </c>
      <c r="G6" s="130">
        <v>0</v>
      </c>
      <c r="H6" s="132">
        <v>0</v>
      </c>
      <c r="I6" s="132">
        <v>0</v>
      </c>
      <c r="J6" s="115">
        <f>(G6*66+34*(H6+I6)/2)/100</f>
        <v>0</v>
      </c>
      <c r="K6" s="118">
        <f>IF(J6&gt;=10,E6,0)</f>
        <v>0</v>
      </c>
      <c r="L6" s="116"/>
      <c r="M6" s="119"/>
    </row>
    <row r="7" spans="2:14" x14ac:dyDescent="0.35">
      <c r="B7" s="4" t="s">
        <v>98</v>
      </c>
      <c r="C7" s="125"/>
      <c r="D7" s="127"/>
      <c r="E7" s="120"/>
      <c r="F7" s="120"/>
      <c r="G7" s="131"/>
      <c r="H7" s="133"/>
      <c r="I7" s="133"/>
      <c r="J7" s="117"/>
      <c r="K7" s="120"/>
      <c r="L7" s="116"/>
      <c r="M7" s="119"/>
    </row>
    <row r="8" spans="2:14" x14ac:dyDescent="0.35">
      <c r="B8" s="4" t="s">
        <v>99</v>
      </c>
      <c r="C8" s="118" t="s">
        <v>100</v>
      </c>
      <c r="D8" s="126" t="s">
        <v>101</v>
      </c>
      <c r="E8" s="118">
        <v>4</v>
      </c>
      <c r="F8" s="118">
        <v>2</v>
      </c>
      <c r="G8" s="130">
        <v>0</v>
      </c>
      <c r="H8" s="132">
        <v>0</v>
      </c>
      <c r="I8" s="136" t="s">
        <v>41</v>
      </c>
      <c r="J8" s="115">
        <f>(G8*66+34*H8)/100</f>
        <v>0</v>
      </c>
      <c r="K8" s="118">
        <f>IF(J8&gt;=10,E8,0)</f>
        <v>0</v>
      </c>
      <c r="L8" s="116"/>
      <c r="M8" s="119"/>
    </row>
    <row r="9" spans="2:14" x14ac:dyDescent="0.35">
      <c r="B9" s="5"/>
      <c r="C9" s="120"/>
      <c r="D9" s="127"/>
      <c r="E9" s="120"/>
      <c r="F9" s="120"/>
      <c r="G9" s="131"/>
      <c r="H9" s="133"/>
      <c r="I9" s="137"/>
      <c r="J9" s="117"/>
      <c r="K9" s="120"/>
      <c r="L9" s="117"/>
      <c r="M9" s="120"/>
    </row>
    <row r="10" spans="2:14" x14ac:dyDescent="0.35">
      <c r="B10" s="51"/>
      <c r="C10" s="102" t="s">
        <v>102</v>
      </c>
      <c r="D10" s="109" t="s">
        <v>103</v>
      </c>
      <c r="E10" s="102">
        <v>5</v>
      </c>
      <c r="F10" s="102">
        <v>3</v>
      </c>
      <c r="G10" s="138">
        <v>0</v>
      </c>
      <c r="H10" s="113">
        <v>0</v>
      </c>
      <c r="I10" s="113">
        <v>0</v>
      </c>
      <c r="J10" s="99">
        <f>(G10*66+34*(H10+I10)/2)/100</f>
        <v>0</v>
      </c>
      <c r="K10" s="102">
        <f>IF(J10&gt;=10,E10,0)</f>
        <v>0</v>
      </c>
      <c r="L10" s="99">
        <f>(J10*F10+J12*F12+J14*F14)/SUM(F10:F15)</f>
        <v>0</v>
      </c>
      <c r="M10" s="102">
        <f>IF(L10&gt;=10,SUM(E10:E15),SUM(K10:K15))</f>
        <v>0</v>
      </c>
    </row>
    <row r="11" spans="2:14" x14ac:dyDescent="0.35">
      <c r="B11" s="6" t="s">
        <v>1</v>
      </c>
      <c r="C11" s="104"/>
      <c r="D11" s="110"/>
      <c r="E11" s="104"/>
      <c r="F11" s="104"/>
      <c r="G11" s="139"/>
      <c r="H11" s="114"/>
      <c r="I11" s="114"/>
      <c r="J11" s="101"/>
      <c r="K11" s="104"/>
      <c r="L11" s="100"/>
      <c r="M11" s="103"/>
    </row>
    <row r="12" spans="2:14" x14ac:dyDescent="0.35">
      <c r="B12" s="6" t="s">
        <v>104</v>
      </c>
      <c r="C12" s="102" t="s">
        <v>105</v>
      </c>
      <c r="D12" s="109" t="s">
        <v>106</v>
      </c>
      <c r="E12" s="102">
        <v>4</v>
      </c>
      <c r="F12" s="102">
        <v>3</v>
      </c>
      <c r="G12" s="138">
        <v>0</v>
      </c>
      <c r="H12" s="138">
        <v>0</v>
      </c>
      <c r="I12" s="111" t="s">
        <v>41</v>
      </c>
      <c r="J12" s="99">
        <f>(66*G12+34*H12)/100</f>
        <v>0</v>
      </c>
      <c r="K12" s="102">
        <f>IF(J12&gt;=10,E12,0)</f>
        <v>0</v>
      </c>
      <c r="L12" s="100"/>
      <c r="M12" s="103"/>
    </row>
    <row r="13" spans="2:14" x14ac:dyDescent="0.35">
      <c r="B13" s="6" t="s">
        <v>107</v>
      </c>
      <c r="C13" s="104"/>
      <c r="D13" s="110"/>
      <c r="E13" s="104"/>
      <c r="F13" s="104"/>
      <c r="G13" s="139"/>
      <c r="H13" s="139"/>
      <c r="I13" s="112"/>
      <c r="J13" s="101"/>
      <c r="K13" s="104"/>
      <c r="L13" s="100"/>
      <c r="M13" s="103"/>
    </row>
    <row r="14" spans="2:14" x14ac:dyDescent="0.35">
      <c r="B14" s="6" t="s">
        <v>108</v>
      </c>
      <c r="C14" s="142" t="s">
        <v>109</v>
      </c>
      <c r="D14" s="109" t="s">
        <v>110</v>
      </c>
      <c r="E14" s="102">
        <v>4</v>
      </c>
      <c r="F14" s="102">
        <v>2</v>
      </c>
      <c r="G14" s="138">
        <v>0</v>
      </c>
      <c r="H14" s="138">
        <v>0</v>
      </c>
      <c r="I14" s="111" t="s">
        <v>41</v>
      </c>
      <c r="J14" s="99">
        <f>(66*G14+34*H14)/100</f>
        <v>0</v>
      </c>
      <c r="K14" s="102">
        <f>IF(J14&gt;=10,E14,0)</f>
        <v>0</v>
      </c>
      <c r="L14" s="100"/>
      <c r="M14" s="103"/>
    </row>
    <row r="15" spans="2:14" x14ac:dyDescent="0.35">
      <c r="B15" s="7"/>
      <c r="C15" s="142"/>
      <c r="D15" s="110"/>
      <c r="E15" s="104"/>
      <c r="F15" s="104"/>
      <c r="G15" s="139"/>
      <c r="H15" s="139"/>
      <c r="I15" s="112"/>
      <c r="J15" s="101"/>
      <c r="K15" s="104"/>
      <c r="L15" s="101"/>
      <c r="M15" s="104"/>
    </row>
    <row r="16" spans="2:14" x14ac:dyDescent="0.35">
      <c r="B16" s="12" t="s">
        <v>5</v>
      </c>
      <c r="C16" s="77" t="s">
        <v>111</v>
      </c>
      <c r="D16" s="105" t="s">
        <v>112</v>
      </c>
      <c r="E16" s="77">
        <v>2</v>
      </c>
      <c r="F16" s="77">
        <v>1</v>
      </c>
      <c r="G16" s="85">
        <v>0</v>
      </c>
      <c r="H16" s="81" t="s">
        <v>41</v>
      </c>
      <c r="I16" s="81" t="s">
        <v>41</v>
      </c>
      <c r="J16" s="83">
        <f>G16</f>
        <v>0</v>
      </c>
      <c r="K16" s="77">
        <f>IF(J16&gt;=10,E16,0)</f>
        <v>0</v>
      </c>
      <c r="L16" s="83">
        <f>J16</f>
        <v>0</v>
      </c>
      <c r="M16" s="77">
        <f>IF(L16&gt;=10,E16,K16)</f>
        <v>0</v>
      </c>
    </row>
    <row r="17" spans="2:16" x14ac:dyDescent="0.35">
      <c r="B17" s="8" t="s">
        <v>113</v>
      </c>
      <c r="C17" s="108"/>
      <c r="D17" s="143"/>
      <c r="E17" s="108"/>
      <c r="F17" s="108"/>
      <c r="G17" s="144"/>
      <c r="H17" s="145"/>
      <c r="I17" s="145"/>
      <c r="J17" s="107"/>
      <c r="K17" s="108"/>
      <c r="L17" s="107"/>
      <c r="M17" s="108"/>
    </row>
    <row r="18" spans="2:16" x14ac:dyDescent="0.35">
      <c r="B18" s="8" t="s">
        <v>14</v>
      </c>
      <c r="C18" s="108"/>
      <c r="D18" s="143"/>
      <c r="E18" s="108"/>
      <c r="F18" s="108"/>
      <c r="G18" s="144"/>
      <c r="H18" s="145"/>
      <c r="I18" s="145"/>
      <c r="J18" s="107"/>
      <c r="K18" s="108"/>
      <c r="L18" s="107"/>
      <c r="M18" s="108"/>
      <c r="O18" s="20" t="s">
        <v>114</v>
      </c>
      <c r="P18" s="21">
        <f>(L4*7+L10*8+L16)/16</f>
        <v>0</v>
      </c>
    </row>
    <row r="19" spans="2:16" x14ac:dyDescent="0.35">
      <c r="B19" s="9" t="s">
        <v>15</v>
      </c>
      <c r="C19" s="78"/>
      <c r="D19" s="106"/>
      <c r="E19" s="78"/>
      <c r="F19" s="78"/>
      <c r="G19" s="86"/>
      <c r="H19" s="82"/>
      <c r="I19" s="82"/>
      <c r="J19" s="84"/>
      <c r="K19" s="78"/>
      <c r="L19" s="84"/>
      <c r="M19" s="78"/>
      <c r="O19" s="20" t="s">
        <v>115</v>
      </c>
      <c r="P19" s="22">
        <f>IF(P18&gt;=10,30,SUM(M4:M19))</f>
        <v>0</v>
      </c>
    </row>
    <row r="20" spans="2:16" x14ac:dyDescent="0.35">
      <c r="B20" s="2" t="s">
        <v>139</v>
      </c>
      <c r="C20" s="2"/>
      <c r="D20" s="1"/>
      <c r="E20" t="s">
        <v>91</v>
      </c>
      <c r="L20" s="41" t="s">
        <v>92</v>
      </c>
      <c r="M20" t="s">
        <v>216</v>
      </c>
    </row>
    <row r="21" spans="2:16" ht="30" customHeight="1" x14ac:dyDescent="0.35">
      <c r="B21" s="87" t="s">
        <v>0</v>
      </c>
      <c r="C21" s="89" t="s">
        <v>17</v>
      </c>
      <c r="D21" s="90"/>
      <c r="E21" s="91" t="s">
        <v>37</v>
      </c>
      <c r="F21" s="93" t="s">
        <v>38</v>
      </c>
      <c r="G21" s="89" t="s">
        <v>39</v>
      </c>
      <c r="H21" s="95"/>
      <c r="I21" s="90"/>
      <c r="J21" s="14" t="s">
        <v>43</v>
      </c>
      <c r="K21" s="15" t="s">
        <v>44</v>
      </c>
      <c r="L21" s="16" t="s">
        <v>43</v>
      </c>
      <c r="M21" s="15" t="s">
        <v>44</v>
      </c>
      <c r="N21" s="30" t="s">
        <v>89</v>
      </c>
    </row>
    <row r="22" spans="2:16" x14ac:dyDescent="0.35">
      <c r="B22" s="88"/>
      <c r="C22" s="46" t="s">
        <v>18</v>
      </c>
      <c r="D22" s="46" t="s">
        <v>19</v>
      </c>
      <c r="E22" s="92"/>
      <c r="F22" s="94"/>
      <c r="G22" s="46" t="s">
        <v>87</v>
      </c>
      <c r="H22" s="46" t="s">
        <v>42</v>
      </c>
      <c r="I22" s="46" t="s">
        <v>40</v>
      </c>
      <c r="J22" s="17" t="s">
        <v>46</v>
      </c>
      <c r="K22" s="18" t="s">
        <v>45</v>
      </c>
      <c r="L22" s="44" t="s">
        <v>47</v>
      </c>
      <c r="M22" s="17" t="s">
        <v>47</v>
      </c>
    </row>
    <row r="23" spans="2:16" x14ac:dyDescent="0.35">
      <c r="B23" s="45"/>
      <c r="C23" s="118" t="s">
        <v>116</v>
      </c>
      <c r="D23" s="126" t="s">
        <v>117</v>
      </c>
      <c r="E23" s="118">
        <v>4</v>
      </c>
      <c r="F23" s="118">
        <v>2</v>
      </c>
      <c r="G23" s="130">
        <v>0</v>
      </c>
      <c r="H23" s="130">
        <v>0</v>
      </c>
      <c r="I23" s="130">
        <v>0</v>
      </c>
      <c r="J23" s="115">
        <f>(66*G23+34*(H23+I23)/2)/100</f>
        <v>0</v>
      </c>
      <c r="K23" s="118">
        <f>IF(J23&gt;=10,E23,0)</f>
        <v>0</v>
      </c>
      <c r="L23" s="115">
        <f>(J23*F23+J25*F25+J27*F27)/SUM(F23:F28)</f>
        <v>0</v>
      </c>
      <c r="M23" s="118">
        <f>IF(L23&gt;=10,SUM(E23:E28),SUM(K23:K28))</f>
        <v>0</v>
      </c>
    </row>
    <row r="24" spans="2:16" x14ac:dyDescent="0.35">
      <c r="B24" s="38" t="s">
        <v>1</v>
      </c>
      <c r="C24" s="120"/>
      <c r="D24" s="127"/>
      <c r="E24" s="120"/>
      <c r="F24" s="120"/>
      <c r="G24" s="131"/>
      <c r="H24" s="131"/>
      <c r="I24" s="131"/>
      <c r="J24" s="117"/>
      <c r="K24" s="120"/>
      <c r="L24" s="116"/>
      <c r="M24" s="119"/>
    </row>
    <row r="25" spans="2:16" x14ac:dyDescent="0.35">
      <c r="B25" s="4" t="s">
        <v>118</v>
      </c>
      <c r="C25" s="118" t="s">
        <v>119</v>
      </c>
      <c r="D25" s="126" t="s">
        <v>120</v>
      </c>
      <c r="E25" s="118">
        <v>5</v>
      </c>
      <c r="F25" s="118">
        <v>3</v>
      </c>
      <c r="G25" s="130">
        <v>0</v>
      </c>
      <c r="H25" s="132">
        <v>0</v>
      </c>
      <c r="I25" s="130">
        <v>0</v>
      </c>
      <c r="J25" s="115">
        <f>(66*G25+34*(H25+I25)/2)/100</f>
        <v>0</v>
      </c>
      <c r="K25" s="118">
        <f>IF(J25&gt;=10,E25,0)</f>
        <v>0</v>
      </c>
      <c r="L25" s="116"/>
      <c r="M25" s="119"/>
    </row>
    <row r="26" spans="2:16" x14ac:dyDescent="0.35">
      <c r="B26" s="4" t="s">
        <v>107</v>
      </c>
      <c r="C26" s="120"/>
      <c r="D26" s="127"/>
      <c r="E26" s="120"/>
      <c r="F26" s="120"/>
      <c r="G26" s="131"/>
      <c r="H26" s="133"/>
      <c r="I26" s="131"/>
      <c r="J26" s="117"/>
      <c r="K26" s="120"/>
      <c r="L26" s="116"/>
      <c r="M26" s="119"/>
    </row>
    <row r="27" spans="2:16" x14ac:dyDescent="0.35">
      <c r="B27" s="4" t="s">
        <v>99</v>
      </c>
      <c r="C27" s="118" t="s">
        <v>121</v>
      </c>
      <c r="D27" s="126" t="s">
        <v>122</v>
      </c>
      <c r="E27" s="118">
        <v>4</v>
      </c>
      <c r="F27" s="118">
        <v>2</v>
      </c>
      <c r="G27" s="130">
        <v>0</v>
      </c>
      <c r="H27" s="132">
        <v>0</v>
      </c>
      <c r="I27" s="136" t="s">
        <v>41</v>
      </c>
      <c r="J27" s="115">
        <f>(G27*66+34*H27)/100</f>
        <v>0</v>
      </c>
      <c r="K27" s="118">
        <f>IF(J27&gt;=10,E27,0)</f>
        <v>0</v>
      </c>
      <c r="L27" s="116"/>
      <c r="M27" s="119"/>
    </row>
    <row r="28" spans="2:16" x14ac:dyDescent="0.35">
      <c r="B28" s="5"/>
      <c r="C28" s="120"/>
      <c r="D28" s="127"/>
      <c r="E28" s="120"/>
      <c r="F28" s="120"/>
      <c r="G28" s="131"/>
      <c r="H28" s="133"/>
      <c r="I28" s="137"/>
      <c r="J28" s="117"/>
      <c r="K28" s="120"/>
      <c r="L28" s="117"/>
      <c r="M28" s="120"/>
      <c r="O28" s="42"/>
    </row>
    <row r="29" spans="2:16" x14ac:dyDescent="0.35">
      <c r="B29" s="51"/>
      <c r="C29" s="102" t="s">
        <v>123</v>
      </c>
      <c r="D29" s="109" t="s">
        <v>124</v>
      </c>
      <c r="E29" s="102">
        <v>4</v>
      </c>
      <c r="F29" s="102">
        <v>2</v>
      </c>
      <c r="G29" s="138">
        <v>0</v>
      </c>
      <c r="H29" s="113">
        <v>0</v>
      </c>
      <c r="I29" s="111" t="s">
        <v>41</v>
      </c>
      <c r="J29" s="99">
        <f>(G29*66+34*H29)/100</f>
        <v>0</v>
      </c>
      <c r="K29" s="102">
        <f>IF(J29&gt;=10,E29,0)</f>
        <v>0</v>
      </c>
      <c r="L29" s="99">
        <f>(J29*F29+J31*F31+J33*F33)/SUM(F29:F34)</f>
        <v>0</v>
      </c>
      <c r="M29" s="102">
        <f>IF(L29&gt;=10,SUM(E29:E34),SUM(K29:K34))</f>
        <v>0</v>
      </c>
    </row>
    <row r="30" spans="2:16" x14ac:dyDescent="0.35">
      <c r="B30" s="6" t="s">
        <v>1</v>
      </c>
      <c r="C30" s="104"/>
      <c r="D30" s="110"/>
      <c r="E30" s="104"/>
      <c r="F30" s="104"/>
      <c r="G30" s="139"/>
      <c r="H30" s="114"/>
      <c r="I30" s="112"/>
      <c r="J30" s="101"/>
      <c r="K30" s="104"/>
      <c r="L30" s="100"/>
      <c r="M30" s="103"/>
    </row>
    <row r="31" spans="2:16" x14ac:dyDescent="0.35">
      <c r="B31" s="6" t="s">
        <v>125</v>
      </c>
      <c r="C31" s="102" t="s">
        <v>126</v>
      </c>
      <c r="D31" s="109" t="s">
        <v>127</v>
      </c>
      <c r="E31" s="102">
        <v>5</v>
      </c>
      <c r="F31" s="102">
        <v>3</v>
      </c>
      <c r="G31" s="138">
        <v>0</v>
      </c>
      <c r="H31" s="138">
        <v>0</v>
      </c>
      <c r="I31" s="113">
        <v>0</v>
      </c>
      <c r="J31" s="99">
        <f>(66*G31+34*(H31+I31)/2)/100</f>
        <v>0</v>
      </c>
      <c r="K31" s="102">
        <f>IF(J31&gt;=10,E31,0)</f>
        <v>0</v>
      </c>
      <c r="L31" s="100"/>
      <c r="M31" s="103"/>
      <c r="O31" s="52" t="s">
        <v>128</v>
      </c>
      <c r="P31" s="53">
        <v>0</v>
      </c>
    </row>
    <row r="32" spans="2:16" x14ac:dyDescent="0.35">
      <c r="B32" s="6" t="s">
        <v>107</v>
      </c>
      <c r="C32" s="104"/>
      <c r="D32" s="110"/>
      <c r="E32" s="104"/>
      <c r="F32" s="104"/>
      <c r="G32" s="139"/>
      <c r="H32" s="139"/>
      <c r="I32" s="114"/>
      <c r="J32" s="101"/>
      <c r="K32" s="104"/>
      <c r="L32" s="100"/>
      <c r="M32" s="103"/>
    </row>
    <row r="33" spans="2:16" x14ac:dyDescent="0.35">
      <c r="B33" s="6" t="s">
        <v>99</v>
      </c>
      <c r="C33" s="146" t="s">
        <v>129</v>
      </c>
      <c r="D33" s="148" t="s">
        <v>130</v>
      </c>
      <c r="E33" s="146">
        <v>4</v>
      </c>
      <c r="F33" s="146">
        <v>2</v>
      </c>
      <c r="G33" s="138">
        <v>0</v>
      </c>
      <c r="H33" s="111" t="s">
        <v>41</v>
      </c>
      <c r="I33" s="138">
        <v>0</v>
      </c>
      <c r="J33" s="99">
        <f>(66*G33+34*I33)/100</f>
        <v>0</v>
      </c>
      <c r="K33" s="146">
        <f>IF(J33&gt;=10,E33,0)</f>
        <v>0</v>
      </c>
      <c r="L33" s="100"/>
      <c r="M33" s="103"/>
      <c r="O33" s="20" t="s">
        <v>131</v>
      </c>
      <c r="P33" s="21">
        <f>(L23*7+L29*7+L35*2)/16</f>
        <v>0</v>
      </c>
    </row>
    <row r="34" spans="2:16" x14ac:dyDescent="0.35">
      <c r="B34" s="7"/>
      <c r="C34" s="147"/>
      <c r="D34" s="149"/>
      <c r="E34" s="147"/>
      <c r="F34" s="147"/>
      <c r="G34" s="139"/>
      <c r="H34" s="112"/>
      <c r="I34" s="139"/>
      <c r="J34" s="101"/>
      <c r="K34" s="150"/>
      <c r="L34" s="100"/>
      <c r="M34" s="103"/>
      <c r="O34" s="20" t="s">
        <v>132</v>
      </c>
      <c r="P34" s="22">
        <f>IF(P33&gt;=10,30,SUM(M23:M38))</f>
        <v>0</v>
      </c>
    </row>
    <row r="35" spans="2:16" x14ac:dyDescent="0.35">
      <c r="B35" s="8" t="s">
        <v>5</v>
      </c>
      <c r="C35" s="77" t="s">
        <v>133</v>
      </c>
      <c r="D35" s="25" t="s">
        <v>134</v>
      </c>
      <c r="E35" s="77">
        <v>2</v>
      </c>
      <c r="F35" s="77">
        <v>1</v>
      </c>
      <c r="G35" s="85">
        <v>0</v>
      </c>
      <c r="H35" s="81" t="s">
        <v>41</v>
      </c>
      <c r="I35" s="81" t="s">
        <v>41</v>
      </c>
      <c r="J35" s="155">
        <f>G35</f>
        <v>0</v>
      </c>
      <c r="K35" s="157">
        <f>IF(J35&gt;=10,E35,0)</f>
        <v>0</v>
      </c>
      <c r="L35" s="151">
        <f>(J35*F35+J37*F37)/SUM(F35:F38)</f>
        <v>0</v>
      </c>
      <c r="M35" s="154">
        <f>IF(L35&gt;=10,SUM(E35:E38),SUM(K35:K38))</f>
        <v>0</v>
      </c>
    </row>
    <row r="36" spans="2:16" x14ac:dyDescent="0.35">
      <c r="B36" s="8" t="s">
        <v>135</v>
      </c>
      <c r="C36" s="78"/>
      <c r="D36" s="26" t="s">
        <v>136</v>
      </c>
      <c r="E36" s="78"/>
      <c r="F36" s="78"/>
      <c r="G36" s="86"/>
      <c r="H36" s="82"/>
      <c r="I36" s="82"/>
      <c r="J36" s="156"/>
      <c r="K36" s="157"/>
      <c r="L36" s="152"/>
      <c r="M36" s="154"/>
      <c r="O36" s="28" t="s">
        <v>75</v>
      </c>
      <c r="P36" s="29">
        <f>(L4*7+L10*8+L16+L23*7+L29*7+L35*2)/32</f>
        <v>0</v>
      </c>
    </row>
    <row r="37" spans="2:16" x14ac:dyDescent="0.35">
      <c r="B37" s="8" t="s">
        <v>11</v>
      </c>
      <c r="C37" s="77" t="s">
        <v>137</v>
      </c>
      <c r="D37" s="105" t="s">
        <v>138</v>
      </c>
      <c r="E37" s="77">
        <v>2</v>
      </c>
      <c r="F37" s="77">
        <v>1</v>
      </c>
      <c r="G37" s="85">
        <v>0</v>
      </c>
      <c r="H37" s="81" t="s">
        <v>41</v>
      </c>
      <c r="I37" s="81" t="s">
        <v>41</v>
      </c>
      <c r="J37" s="155">
        <f>G37</f>
        <v>0</v>
      </c>
      <c r="K37" s="157">
        <f>IF(J37&gt;=10,E37,0)</f>
        <v>0</v>
      </c>
      <c r="L37" s="152"/>
      <c r="M37" s="154"/>
      <c r="O37" s="28" t="s">
        <v>81</v>
      </c>
      <c r="P37" s="22">
        <f>IF(P36&gt;=10,60,P19+P34)</f>
        <v>0</v>
      </c>
    </row>
    <row r="38" spans="2:16" x14ac:dyDescent="0.35">
      <c r="B38" s="9" t="s">
        <v>8</v>
      </c>
      <c r="C38" s="78"/>
      <c r="D38" s="106"/>
      <c r="E38" s="78"/>
      <c r="F38" s="78"/>
      <c r="G38" s="86"/>
      <c r="H38" s="82"/>
      <c r="I38" s="82"/>
      <c r="J38" s="156"/>
      <c r="K38" s="157"/>
      <c r="L38" s="153"/>
      <c r="M38" s="154"/>
      <c r="O38" s="28" t="s">
        <v>76</v>
      </c>
      <c r="P38" s="30" t="str">
        <f>IF(P36&gt;=10,"Admis",IF(AND(P37+P31&gt;=90,L4&gt;=10,L10&gt;=10,L23&gt;=10,L29&gt;=10),"Admis avec dettes","Ajournée"))</f>
        <v>Ajournée</v>
      </c>
    </row>
    <row r="40" spans="2:16" x14ac:dyDescent="0.35">
      <c r="L40" s="40"/>
      <c r="M40" s="40"/>
    </row>
    <row r="41" spans="2:16" x14ac:dyDescent="0.35">
      <c r="L41" s="40"/>
      <c r="M41" s="40"/>
    </row>
    <row r="42" spans="2:16" x14ac:dyDescent="0.35">
      <c r="L42" s="40"/>
      <c r="M42" s="40"/>
    </row>
    <row r="43" spans="2:16" x14ac:dyDescent="0.35">
      <c r="L43" s="40"/>
      <c r="M43" s="40"/>
    </row>
    <row r="44" spans="2:16" x14ac:dyDescent="0.35">
      <c r="L44" s="40"/>
      <c r="M44" s="40"/>
    </row>
    <row r="45" spans="2:16" x14ac:dyDescent="0.35">
      <c r="L45" s="40"/>
      <c r="M45" s="40"/>
    </row>
    <row r="57" spans="9:9" x14ac:dyDescent="0.35">
      <c r="I57" s="43"/>
    </row>
  </sheetData>
  <sheetProtection algorithmName="SHA-512" hashValue="MFxiXv7QzTwnQARdan10ff7y0G6msRiMKSPg5Cd4XbYdDViw32qhYf/maoKJwsCsCAMY+5lf/7HeU9awPEffYA==" saltValue="ueFlCc5MYbsNqh9tCCPm1A==" spinCount="100000" sheet="1" objects="1" scenarios="1" selectLockedCells="1"/>
  <mergeCells count="156">
    <mergeCell ref="L35:L38"/>
    <mergeCell ref="M35:M38"/>
    <mergeCell ref="C37:C38"/>
    <mergeCell ref="D37:D38"/>
    <mergeCell ref="E37:E38"/>
    <mergeCell ref="F37:F38"/>
    <mergeCell ref="G37:G38"/>
    <mergeCell ref="H37:H38"/>
    <mergeCell ref="I37:I38"/>
    <mergeCell ref="J37:J38"/>
    <mergeCell ref="C35:C36"/>
    <mergeCell ref="E35:E36"/>
    <mergeCell ref="F35:F36"/>
    <mergeCell ref="G35:G36"/>
    <mergeCell ref="H35:H36"/>
    <mergeCell ref="I35:I36"/>
    <mergeCell ref="J35:J36"/>
    <mergeCell ref="K35:K36"/>
    <mergeCell ref="K37:K38"/>
    <mergeCell ref="L29:L34"/>
    <mergeCell ref="M29:M34"/>
    <mergeCell ref="C31:C32"/>
    <mergeCell ref="D31:D32"/>
    <mergeCell ref="E31:E32"/>
    <mergeCell ref="F31:F32"/>
    <mergeCell ref="G31:G32"/>
    <mergeCell ref="H31:H32"/>
    <mergeCell ref="I31:I32"/>
    <mergeCell ref="J31:J32"/>
    <mergeCell ref="K31:K32"/>
    <mergeCell ref="C33:C34"/>
    <mergeCell ref="D33:D34"/>
    <mergeCell ref="E33:E34"/>
    <mergeCell ref="F33:F34"/>
    <mergeCell ref="G33:G34"/>
    <mergeCell ref="H33:H34"/>
    <mergeCell ref="I33:I34"/>
    <mergeCell ref="J33:J34"/>
    <mergeCell ref="K33:K34"/>
    <mergeCell ref="C29:C30"/>
    <mergeCell ref="D29:D30"/>
    <mergeCell ref="E29:E30"/>
    <mergeCell ref="F29:F30"/>
    <mergeCell ref="G29:G30"/>
    <mergeCell ref="H29:H30"/>
    <mergeCell ref="I29:I30"/>
    <mergeCell ref="J29:J30"/>
    <mergeCell ref="K29:K30"/>
    <mergeCell ref="I25:I26"/>
    <mergeCell ref="J25:J26"/>
    <mergeCell ref="K25:K26"/>
    <mergeCell ref="C27:C28"/>
    <mergeCell ref="D27:D28"/>
    <mergeCell ref="E27:E28"/>
    <mergeCell ref="F27:F28"/>
    <mergeCell ref="G27:G28"/>
    <mergeCell ref="H27:H28"/>
    <mergeCell ref="I27:I28"/>
    <mergeCell ref="J27:J28"/>
    <mergeCell ref="K27:K28"/>
    <mergeCell ref="L16:L19"/>
    <mergeCell ref="M16:M19"/>
    <mergeCell ref="B21:B22"/>
    <mergeCell ref="C21:D21"/>
    <mergeCell ref="E21:E22"/>
    <mergeCell ref="F21:F22"/>
    <mergeCell ref="G21:I21"/>
    <mergeCell ref="I23:I24"/>
    <mergeCell ref="J23:J24"/>
    <mergeCell ref="K23:K24"/>
    <mergeCell ref="L23:L28"/>
    <mergeCell ref="M23:M28"/>
    <mergeCell ref="C25:C26"/>
    <mergeCell ref="D25:D26"/>
    <mergeCell ref="E25:E26"/>
    <mergeCell ref="F25:F26"/>
    <mergeCell ref="G25:G26"/>
    <mergeCell ref="C23:C24"/>
    <mergeCell ref="D23:D24"/>
    <mergeCell ref="E23:E24"/>
    <mergeCell ref="F23:F24"/>
    <mergeCell ref="G23:G24"/>
    <mergeCell ref="H23:H24"/>
    <mergeCell ref="H25:H26"/>
    <mergeCell ref="G14:G15"/>
    <mergeCell ref="H14:H15"/>
    <mergeCell ref="I14:I15"/>
    <mergeCell ref="J14:J15"/>
    <mergeCell ref="K14:K15"/>
    <mergeCell ref="C16:C19"/>
    <mergeCell ref="D16:D19"/>
    <mergeCell ref="E16:E19"/>
    <mergeCell ref="F16:F19"/>
    <mergeCell ref="G16:G19"/>
    <mergeCell ref="H16:H19"/>
    <mergeCell ref="I16:I19"/>
    <mergeCell ref="J16:J19"/>
    <mergeCell ref="K16:K19"/>
    <mergeCell ref="I10:I11"/>
    <mergeCell ref="J10:J11"/>
    <mergeCell ref="K10:K11"/>
    <mergeCell ref="L10:L15"/>
    <mergeCell ref="M10:M15"/>
    <mergeCell ref="C12:C13"/>
    <mergeCell ref="D12:D13"/>
    <mergeCell ref="E12:E13"/>
    <mergeCell ref="F12:F13"/>
    <mergeCell ref="G12:G13"/>
    <mergeCell ref="C10:C11"/>
    <mergeCell ref="D10:D11"/>
    <mergeCell ref="E10:E11"/>
    <mergeCell ref="F10:F11"/>
    <mergeCell ref="G10:G11"/>
    <mergeCell ref="H10:H11"/>
    <mergeCell ref="H12:H13"/>
    <mergeCell ref="I12:I13"/>
    <mergeCell ref="J12:J13"/>
    <mergeCell ref="K12:K13"/>
    <mergeCell ref="C14:C15"/>
    <mergeCell ref="D14:D15"/>
    <mergeCell ref="E14:E15"/>
    <mergeCell ref="F14:F15"/>
    <mergeCell ref="L4:L9"/>
    <mergeCell ref="M4:M9"/>
    <mergeCell ref="C6:C7"/>
    <mergeCell ref="D6:D7"/>
    <mergeCell ref="E6:E7"/>
    <mergeCell ref="F6:F7"/>
    <mergeCell ref="G6:G7"/>
    <mergeCell ref="H6:H7"/>
    <mergeCell ref="I6:I7"/>
    <mergeCell ref="J6:J7"/>
    <mergeCell ref="J4:J5"/>
    <mergeCell ref="K4:K5"/>
    <mergeCell ref="K6:K7"/>
    <mergeCell ref="C8:C9"/>
    <mergeCell ref="D8:D9"/>
    <mergeCell ref="E8:E9"/>
    <mergeCell ref="F8:F9"/>
    <mergeCell ref="G8:G9"/>
    <mergeCell ref="H8:H9"/>
    <mergeCell ref="I8:I9"/>
    <mergeCell ref="J8:J9"/>
    <mergeCell ref="K8:K9"/>
    <mergeCell ref="B2:B3"/>
    <mergeCell ref="C2:D2"/>
    <mergeCell ref="E2:E3"/>
    <mergeCell ref="F2:F3"/>
    <mergeCell ref="G2:I2"/>
    <mergeCell ref="C4:C5"/>
    <mergeCell ref="D4:D5"/>
    <mergeCell ref="E4:E5"/>
    <mergeCell ref="F4:F5"/>
    <mergeCell ref="G4:G5"/>
    <mergeCell ref="H4:H5"/>
    <mergeCell ref="I4:I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B1:P57"/>
  <sheetViews>
    <sheetView workbookViewId="0">
      <selection activeCell="G23" sqref="G23:G24"/>
    </sheetView>
  </sheetViews>
  <sheetFormatPr baseColWidth="10" defaultColWidth="9.1796875" defaultRowHeight="14.5" x14ac:dyDescent="0.35"/>
  <cols>
    <col min="2" max="2" width="20.7265625" bestFit="1" customWidth="1"/>
    <col min="3" max="3" width="5.7265625" customWidth="1"/>
    <col min="4" max="4" width="39" bestFit="1" customWidth="1"/>
    <col min="5" max="9" width="5.7265625" customWidth="1"/>
    <col min="10" max="10" width="9.453125" bestFit="1" customWidth="1"/>
    <col min="11" max="11" width="7.453125" bestFit="1" customWidth="1"/>
    <col min="12" max="12" width="9.453125" bestFit="1" customWidth="1"/>
    <col min="13" max="13" width="7.453125" bestFit="1" customWidth="1"/>
    <col min="15" max="15" width="29.81640625" bestFit="1" customWidth="1"/>
    <col min="16" max="16" width="17.26953125" bestFit="1" customWidth="1"/>
  </cols>
  <sheetData>
    <row r="1" spans="2:15" x14ac:dyDescent="0.35">
      <c r="B1" s="2"/>
      <c r="C1" s="2"/>
      <c r="D1" s="1"/>
      <c r="L1" s="41"/>
    </row>
    <row r="2" spans="2:15" ht="30" customHeight="1" x14ac:dyDescent="0.35">
      <c r="B2" s="87" t="s">
        <v>0</v>
      </c>
      <c r="C2" s="89" t="s">
        <v>17</v>
      </c>
      <c r="D2" s="90"/>
      <c r="E2" s="91" t="s">
        <v>37</v>
      </c>
      <c r="F2" s="93" t="s">
        <v>38</v>
      </c>
      <c r="G2" s="89" t="s">
        <v>39</v>
      </c>
      <c r="H2" s="95"/>
      <c r="I2" s="90"/>
      <c r="J2" s="14" t="s">
        <v>43</v>
      </c>
      <c r="K2" s="15" t="s">
        <v>44</v>
      </c>
      <c r="L2" s="16" t="s">
        <v>43</v>
      </c>
      <c r="M2" s="15" t="s">
        <v>44</v>
      </c>
      <c r="N2" s="30" t="s">
        <v>88</v>
      </c>
    </row>
    <row r="3" spans="2:15" x14ac:dyDescent="0.35">
      <c r="B3" s="88"/>
      <c r="C3" s="46" t="s">
        <v>18</v>
      </c>
      <c r="D3" s="46" t="s">
        <v>19</v>
      </c>
      <c r="E3" s="92"/>
      <c r="F3" s="94"/>
      <c r="G3" s="46" t="s">
        <v>87</v>
      </c>
      <c r="H3" s="46" t="s">
        <v>42</v>
      </c>
      <c r="I3" s="46" t="s">
        <v>40</v>
      </c>
      <c r="J3" s="17" t="s">
        <v>46</v>
      </c>
      <c r="K3" s="18" t="s">
        <v>45</v>
      </c>
      <c r="L3" s="44" t="s">
        <v>47</v>
      </c>
      <c r="M3" s="17" t="s">
        <v>47</v>
      </c>
    </row>
    <row r="4" spans="2:15" x14ac:dyDescent="0.35">
      <c r="B4" s="45"/>
      <c r="C4" s="124" t="s">
        <v>93</v>
      </c>
      <c r="D4" s="126" t="s">
        <v>140</v>
      </c>
      <c r="E4" s="118">
        <v>5</v>
      </c>
      <c r="F4" s="118">
        <v>2</v>
      </c>
      <c r="G4" s="130">
        <v>0</v>
      </c>
      <c r="H4" s="132">
        <v>0</v>
      </c>
      <c r="I4" s="128" t="s">
        <v>41</v>
      </c>
      <c r="J4" s="115">
        <f>(66*G4+34*H4)/100</f>
        <v>0</v>
      </c>
      <c r="K4" s="118">
        <f>IF(J4&gt;=10,E4,0)</f>
        <v>0</v>
      </c>
      <c r="L4" s="115">
        <f>(J4*F4+J6*F6+J8*F8)/SUM(F4:F9)</f>
        <v>0</v>
      </c>
      <c r="M4" s="118">
        <f>IF(L4&gt;=10,SUM(E4:E9),SUM(K4:K9))</f>
        <v>0</v>
      </c>
    </row>
    <row r="5" spans="2:15" x14ac:dyDescent="0.35">
      <c r="B5" s="38" t="s">
        <v>1</v>
      </c>
      <c r="C5" s="125"/>
      <c r="D5" s="127"/>
      <c r="E5" s="120"/>
      <c r="F5" s="120"/>
      <c r="G5" s="131"/>
      <c r="H5" s="133"/>
      <c r="I5" s="129"/>
      <c r="J5" s="117"/>
      <c r="K5" s="120"/>
      <c r="L5" s="116"/>
      <c r="M5" s="119"/>
    </row>
    <row r="6" spans="2:15" x14ac:dyDescent="0.35">
      <c r="B6" s="4" t="s">
        <v>95</v>
      </c>
      <c r="C6" s="124" t="s">
        <v>96</v>
      </c>
      <c r="D6" s="141" t="s">
        <v>141</v>
      </c>
      <c r="E6" s="118">
        <v>7</v>
      </c>
      <c r="F6" s="118">
        <v>4</v>
      </c>
      <c r="G6" s="130">
        <v>0</v>
      </c>
      <c r="H6" s="132">
        <v>0</v>
      </c>
      <c r="I6" s="128" t="s">
        <v>41</v>
      </c>
      <c r="J6" s="115">
        <f>(66*G6+34*H6)/100</f>
        <v>0</v>
      </c>
      <c r="K6" s="118">
        <f>IF(J6&gt;=10,E6,0)</f>
        <v>0</v>
      </c>
      <c r="L6" s="116"/>
      <c r="M6" s="119"/>
    </row>
    <row r="7" spans="2:15" x14ac:dyDescent="0.35">
      <c r="B7" s="4" t="s">
        <v>142</v>
      </c>
      <c r="C7" s="125"/>
      <c r="D7" s="127"/>
      <c r="E7" s="120"/>
      <c r="F7" s="120"/>
      <c r="G7" s="131"/>
      <c r="H7" s="133"/>
      <c r="I7" s="129"/>
      <c r="J7" s="117"/>
      <c r="K7" s="120"/>
      <c r="L7" s="116"/>
      <c r="M7" s="119"/>
    </row>
    <row r="8" spans="2:15" x14ac:dyDescent="0.35">
      <c r="B8" s="4" t="s">
        <v>143</v>
      </c>
      <c r="C8" s="118" t="s">
        <v>100</v>
      </c>
      <c r="D8" s="126" t="s">
        <v>144</v>
      </c>
      <c r="E8" s="118">
        <v>6</v>
      </c>
      <c r="F8" s="118">
        <v>3</v>
      </c>
      <c r="G8" s="130">
        <v>0</v>
      </c>
      <c r="H8" s="132">
        <v>0</v>
      </c>
      <c r="I8" s="136" t="s">
        <v>41</v>
      </c>
      <c r="J8" s="115">
        <f>(G8*66+34*H8)/100</f>
        <v>0</v>
      </c>
      <c r="K8" s="118">
        <f>IF(J8&gt;=10,E8,0)</f>
        <v>0</v>
      </c>
      <c r="L8" s="116"/>
      <c r="M8" s="119"/>
    </row>
    <row r="9" spans="2:15" x14ac:dyDescent="0.35">
      <c r="B9" s="5"/>
      <c r="C9" s="120"/>
      <c r="D9" s="127"/>
      <c r="E9" s="120"/>
      <c r="F9" s="120"/>
      <c r="G9" s="131"/>
      <c r="H9" s="133"/>
      <c r="I9" s="137"/>
      <c r="J9" s="117"/>
      <c r="K9" s="120"/>
      <c r="L9" s="117"/>
      <c r="M9" s="120"/>
    </row>
    <row r="10" spans="2:15" x14ac:dyDescent="0.35">
      <c r="B10" s="51"/>
      <c r="C10" s="102" t="s">
        <v>111</v>
      </c>
      <c r="D10" s="109" t="s">
        <v>145</v>
      </c>
      <c r="E10" s="102">
        <v>4</v>
      </c>
      <c r="F10" s="102">
        <v>2</v>
      </c>
      <c r="G10" s="138">
        <v>0</v>
      </c>
      <c r="H10" s="113">
        <v>0</v>
      </c>
      <c r="I10" s="113">
        <v>0</v>
      </c>
      <c r="J10" s="99">
        <f>(G10*66+34*(H10+I10)/2)/100</f>
        <v>0</v>
      </c>
      <c r="K10" s="102">
        <f>IF(J10&gt;=10,E10,0)</f>
        <v>0</v>
      </c>
      <c r="L10" s="99">
        <f>(J10*F10+J12*F12+J14*F14)/SUM(F10:F15)</f>
        <v>0</v>
      </c>
      <c r="M10" s="102">
        <f>IF(L10&gt;=10,SUM(E10:E15),SUM(K10:K15))</f>
        <v>0</v>
      </c>
    </row>
    <row r="11" spans="2:15" x14ac:dyDescent="0.35">
      <c r="B11" s="6" t="s">
        <v>5</v>
      </c>
      <c r="C11" s="104"/>
      <c r="D11" s="110"/>
      <c r="E11" s="104"/>
      <c r="F11" s="104"/>
      <c r="G11" s="139"/>
      <c r="H11" s="114"/>
      <c r="I11" s="114"/>
      <c r="J11" s="101"/>
      <c r="K11" s="104"/>
      <c r="L11" s="100"/>
      <c r="M11" s="103"/>
    </row>
    <row r="12" spans="2:15" x14ac:dyDescent="0.35">
      <c r="B12" s="6" t="s">
        <v>113</v>
      </c>
      <c r="C12" s="102" t="s">
        <v>146</v>
      </c>
      <c r="D12" s="109" t="s">
        <v>147</v>
      </c>
      <c r="E12" s="102">
        <v>3</v>
      </c>
      <c r="F12" s="102">
        <v>2</v>
      </c>
      <c r="G12" s="138">
        <v>0</v>
      </c>
      <c r="H12" s="111" t="s">
        <v>41</v>
      </c>
      <c r="I12" s="111" t="s">
        <v>41</v>
      </c>
      <c r="J12" s="99">
        <f>G12</f>
        <v>0</v>
      </c>
      <c r="K12" s="102">
        <f>IF(J12&gt;=10,E12,0)</f>
        <v>0</v>
      </c>
      <c r="L12" s="100"/>
      <c r="M12" s="103"/>
    </row>
    <row r="13" spans="2:15" x14ac:dyDescent="0.35">
      <c r="B13" s="6" t="s">
        <v>148</v>
      </c>
      <c r="C13" s="104"/>
      <c r="D13" s="110"/>
      <c r="E13" s="104"/>
      <c r="F13" s="104"/>
      <c r="G13" s="139"/>
      <c r="H13" s="112"/>
      <c r="I13" s="112"/>
      <c r="J13" s="101"/>
      <c r="K13" s="104"/>
      <c r="L13" s="100"/>
      <c r="M13" s="103"/>
    </row>
    <row r="14" spans="2:15" x14ac:dyDescent="0.35">
      <c r="B14" s="6" t="s">
        <v>50</v>
      </c>
      <c r="C14" s="142" t="s">
        <v>149</v>
      </c>
      <c r="D14" s="109" t="s">
        <v>150</v>
      </c>
      <c r="E14" s="102">
        <v>3</v>
      </c>
      <c r="F14" s="102">
        <v>1</v>
      </c>
      <c r="G14" s="138">
        <v>0</v>
      </c>
      <c r="H14" s="111" t="s">
        <v>41</v>
      </c>
      <c r="I14" s="138">
        <v>0</v>
      </c>
      <c r="J14" s="99">
        <f>(66*G14+34*I14)/100</f>
        <v>0</v>
      </c>
      <c r="K14" s="102">
        <f>IF(J14&gt;=10,E14,0)</f>
        <v>0</v>
      </c>
      <c r="L14" s="100"/>
      <c r="M14" s="103"/>
    </row>
    <row r="15" spans="2:15" x14ac:dyDescent="0.35">
      <c r="B15" s="7"/>
      <c r="C15" s="142"/>
      <c r="D15" s="110"/>
      <c r="E15" s="104"/>
      <c r="F15" s="104"/>
      <c r="G15" s="139"/>
      <c r="H15" s="112"/>
      <c r="I15" s="139"/>
      <c r="J15" s="101"/>
      <c r="K15" s="104"/>
      <c r="L15" s="101"/>
      <c r="M15" s="104"/>
      <c r="O15" s="158" t="s">
        <v>214</v>
      </c>
    </row>
    <row r="16" spans="2:15" x14ac:dyDescent="0.35">
      <c r="B16" s="12" t="s">
        <v>9</v>
      </c>
      <c r="C16" s="77" t="s">
        <v>151</v>
      </c>
      <c r="D16" s="105" t="s">
        <v>152</v>
      </c>
      <c r="E16" s="77">
        <v>2</v>
      </c>
      <c r="F16" s="77">
        <v>1</v>
      </c>
      <c r="G16" s="85">
        <v>0</v>
      </c>
      <c r="H16" s="81" t="s">
        <v>41</v>
      </c>
      <c r="I16" s="81" t="s">
        <v>41</v>
      </c>
      <c r="J16" s="83">
        <f>G16</f>
        <v>0</v>
      </c>
      <c r="K16" s="77">
        <f>IF(J16&gt;=10,E16,0)</f>
        <v>0</v>
      </c>
      <c r="L16" s="83">
        <f>J16</f>
        <v>0</v>
      </c>
      <c r="M16" s="77">
        <f>IF(L16&gt;=10,E16,K16)</f>
        <v>0</v>
      </c>
      <c r="O16" s="159"/>
    </row>
    <row r="17" spans="2:16" x14ac:dyDescent="0.35">
      <c r="B17" s="8" t="s">
        <v>153</v>
      </c>
      <c r="C17" s="108"/>
      <c r="D17" s="143"/>
      <c r="E17" s="108"/>
      <c r="F17" s="108"/>
      <c r="G17" s="144"/>
      <c r="H17" s="145"/>
      <c r="I17" s="145"/>
      <c r="J17" s="107"/>
      <c r="K17" s="108"/>
      <c r="L17" s="107"/>
      <c r="M17" s="108"/>
      <c r="O17" s="160"/>
    </row>
    <row r="18" spans="2:16" x14ac:dyDescent="0.35">
      <c r="B18" s="8" t="s">
        <v>14</v>
      </c>
      <c r="C18" s="108"/>
      <c r="D18" s="143"/>
      <c r="E18" s="108"/>
      <c r="F18" s="108"/>
      <c r="G18" s="144"/>
      <c r="H18" s="145"/>
      <c r="I18" s="145"/>
      <c r="J18" s="107"/>
      <c r="K18" s="108"/>
      <c r="L18" s="107"/>
      <c r="M18" s="108"/>
      <c r="O18" s="20" t="s">
        <v>114</v>
      </c>
      <c r="P18" s="21">
        <f>IF(L16=0,(L4*9+L10*5)/14,(L4*9+L10*5+L16)/15)</f>
        <v>0</v>
      </c>
    </row>
    <row r="19" spans="2:16" x14ac:dyDescent="0.35">
      <c r="B19" s="9" t="s">
        <v>15</v>
      </c>
      <c r="C19" s="78"/>
      <c r="D19" s="106"/>
      <c r="E19" s="78"/>
      <c r="F19" s="78"/>
      <c r="G19" s="86"/>
      <c r="H19" s="82"/>
      <c r="I19" s="82"/>
      <c r="J19" s="84"/>
      <c r="K19" s="78"/>
      <c r="L19" s="84"/>
      <c r="M19" s="78"/>
      <c r="O19" s="20" t="s">
        <v>115</v>
      </c>
      <c r="P19" s="22">
        <f>IF(P18&gt;=10,30,SUM(M4:M19))</f>
        <v>0</v>
      </c>
    </row>
    <row r="20" spans="2:16" x14ac:dyDescent="0.35">
      <c r="B20" s="2" t="s">
        <v>139</v>
      </c>
      <c r="C20" s="2"/>
      <c r="D20" s="1"/>
      <c r="E20" t="s">
        <v>91</v>
      </c>
      <c r="L20" s="41" t="s">
        <v>166</v>
      </c>
      <c r="M20" t="s">
        <v>217</v>
      </c>
    </row>
    <row r="21" spans="2:16" ht="30" customHeight="1" x14ac:dyDescent="0.35">
      <c r="B21" s="87" t="s">
        <v>0</v>
      </c>
      <c r="C21" s="89" t="s">
        <v>17</v>
      </c>
      <c r="D21" s="90"/>
      <c r="E21" s="91" t="s">
        <v>37</v>
      </c>
      <c r="F21" s="93" t="s">
        <v>38</v>
      </c>
      <c r="G21" s="89" t="s">
        <v>39</v>
      </c>
      <c r="H21" s="95"/>
      <c r="I21" s="90"/>
      <c r="J21" s="14" t="s">
        <v>43</v>
      </c>
      <c r="K21" s="15" t="s">
        <v>44</v>
      </c>
      <c r="L21" s="16" t="s">
        <v>43</v>
      </c>
      <c r="M21" s="15" t="s">
        <v>44</v>
      </c>
      <c r="N21" s="30" t="s">
        <v>89</v>
      </c>
    </row>
    <row r="22" spans="2:16" x14ac:dyDescent="0.35">
      <c r="B22" s="88"/>
      <c r="C22" s="46" t="s">
        <v>18</v>
      </c>
      <c r="D22" s="46" t="s">
        <v>19</v>
      </c>
      <c r="E22" s="92"/>
      <c r="F22" s="94"/>
      <c r="G22" s="46" t="s">
        <v>87</v>
      </c>
      <c r="H22" s="46" t="s">
        <v>42</v>
      </c>
      <c r="I22" s="46" t="s">
        <v>40</v>
      </c>
      <c r="J22" s="17" t="s">
        <v>46</v>
      </c>
      <c r="K22" s="18" t="s">
        <v>45</v>
      </c>
      <c r="L22" s="44" t="s">
        <v>47</v>
      </c>
      <c r="M22" s="17" t="s">
        <v>47</v>
      </c>
    </row>
    <row r="23" spans="2:16" x14ac:dyDescent="0.35">
      <c r="B23" s="45"/>
      <c r="C23" s="124" t="s">
        <v>116</v>
      </c>
      <c r="D23" s="126" t="s">
        <v>154</v>
      </c>
      <c r="E23" s="118">
        <v>5</v>
      </c>
      <c r="F23" s="118">
        <v>3</v>
      </c>
      <c r="G23" s="130">
        <v>0</v>
      </c>
      <c r="H23" s="132">
        <v>0</v>
      </c>
      <c r="I23" s="128" t="s">
        <v>41</v>
      </c>
      <c r="J23" s="115">
        <f>(66*G23+34*H23)/100</f>
        <v>0</v>
      </c>
      <c r="K23" s="118">
        <f>IF(J23&gt;=10,E23,0)</f>
        <v>0</v>
      </c>
      <c r="L23" s="115">
        <f>(J23*F23+J25*F25+J27*F27)/SUM(F23:F28)</f>
        <v>0</v>
      </c>
      <c r="M23" s="118">
        <f>IF(L23&gt;=10,SUM(E23:E28),SUM(K23:K28))</f>
        <v>0</v>
      </c>
    </row>
    <row r="24" spans="2:16" x14ac:dyDescent="0.35">
      <c r="B24" s="38" t="s">
        <v>1</v>
      </c>
      <c r="C24" s="125"/>
      <c r="D24" s="127"/>
      <c r="E24" s="120"/>
      <c r="F24" s="120"/>
      <c r="G24" s="131"/>
      <c r="H24" s="133"/>
      <c r="I24" s="129"/>
      <c r="J24" s="117"/>
      <c r="K24" s="120"/>
      <c r="L24" s="116"/>
      <c r="M24" s="119"/>
    </row>
    <row r="25" spans="2:16" x14ac:dyDescent="0.35">
      <c r="B25" s="4" t="s">
        <v>118</v>
      </c>
      <c r="C25" s="124" t="s">
        <v>119</v>
      </c>
      <c r="D25" s="141" t="s">
        <v>155</v>
      </c>
      <c r="E25" s="118">
        <v>8</v>
      </c>
      <c r="F25" s="118">
        <v>4</v>
      </c>
      <c r="G25" s="130">
        <v>0</v>
      </c>
      <c r="H25" s="132">
        <v>0</v>
      </c>
      <c r="I25" s="128" t="s">
        <v>41</v>
      </c>
      <c r="J25" s="115">
        <f>(66*G25+34*H25)/100</f>
        <v>0</v>
      </c>
      <c r="K25" s="118">
        <f>IF(J25&gt;=10,E25,0)</f>
        <v>0</v>
      </c>
      <c r="L25" s="116"/>
      <c r="M25" s="119"/>
    </row>
    <row r="26" spans="2:16" x14ac:dyDescent="0.35">
      <c r="B26" s="4" t="s">
        <v>142</v>
      </c>
      <c r="C26" s="125"/>
      <c r="D26" s="127"/>
      <c r="E26" s="120"/>
      <c r="F26" s="120"/>
      <c r="G26" s="131"/>
      <c r="H26" s="133"/>
      <c r="I26" s="129"/>
      <c r="J26" s="117"/>
      <c r="K26" s="120"/>
      <c r="L26" s="116"/>
      <c r="M26" s="119"/>
    </row>
    <row r="27" spans="2:16" x14ac:dyDescent="0.35">
      <c r="B27" s="4" t="s">
        <v>4</v>
      </c>
      <c r="C27" s="118" t="s">
        <v>121</v>
      </c>
      <c r="D27" s="126" t="s">
        <v>156</v>
      </c>
      <c r="E27" s="118">
        <v>5</v>
      </c>
      <c r="F27" s="118">
        <v>3</v>
      </c>
      <c r="G27" s="130">
        <v>0</v>
      </c>
      <c r="H27" s="132">
        <v>0</v>
      </c>
      <c r="I27" s="136" t="s">
        <v>41</v>
      </c>
      <c r="J27" s="115">
        <f>(G27*66+34*H27)/100</f>
        <v>0</v>
      </c>
      <c r="K27" s="118">
        <f>IF(J27&gt;=10,E27,0)</f>
        <v>0</v>
      </c>
      <c r="L27" s="116"/>
      <c r="M27" s="119"/>
    </row>
    <row r="28" spans="2:16" x14ac:dyDescent="0.35">
      <c r="B28" s="5"/>
      <c r="C28" s="120"/>
      <c r="D28" s="127"/>
      <c r="E28" s="120"/>
      <c r="F28" s="120"/>
      <c r="G28" s="131"/>
      <c r="H28" s="133"/>
      <c r="I28" s="137"/>
      <c r="J28" s="117"/>
      <c r="K28" s="120"/>
      <c r="L28" s="117"/>
      <c r="M28" s="120"/>
    </row>
    <row r="29" spans="2:16" x14ac:dyDescent="0.35">
      <c r="B29" s="51"/>
      <c r="C29" s="102" t="s">
        <v>133</v>
      </c>
      <c r="D29" s="109" t="s">
        <v>157</v>
      </c>
      <c r="E29" s="102">
        <v>4</v>
      </c>
      <c r="F29" s="102">
        <v>2</v>
      </c>
      <c r="G29" s="138">
        <v>0</v>
      </c>
      <c r="H29" s="113">
        <v>0</v>
      </c>
      <c r="I29" s="113">
        <v>0</v>
      </c>
      <c r="J29" s="99">
        <f>(G29*66+34*(H29+I29)/2)/100</f>
        <v>0</v>
      </c>
      <c r="K29" s="102">
        <f>IF(J29&gt;=10,E29,0)</f>
        <v>0</v>
      </c>
      <c r="L29" s="99">
        <f>(J29*F29+J31*F31+J33*F33)/SUM(F29:F34)</f>
        <v>0</v>
      </c>
      <c r="M29" s="102">
        <f>IF(L29&gt;=10,SUM(E29:E34),SUM(K29:K34))</f>
        <v>0</v>
      </c>
    </row>
    <row r="30" spans="2:16" x14ac:dyDescent="0.35">
      <c r="B30" s="6" t="s">
        <v>5</v>
      </c>
      <c r="C30" s="104"/>
      <c r="D30" s="110"/>
      <c r="E30" s="104"/>
      <c r="F30" s="104"/>
      <c r="G30" s="139"/>
      <c r="H30" s="114"/>
      <c r="I30" s="114"/>
      <c r="J30" s="101"/>
      <c r="K30" s="104"/>
      <c r="L30" s="100"/>
      <c r="M30" s="103"/>
    </row>
    <row r="31" spans="2:16" x14ac:dyDescent="0.35">
      <c r="B31" s="6" t="s">
        <v>135</v>
      </c>
      <c r="C31" s="102" t="s">
        <v>137</v>
      </c>
      <c r="D31" s="109" t="s">
        <v>158</v>
      </c>
      <c r="E31" s="102">
        <v>3</v>
      </c>
      <c r="F31" s="102">
        <v>2</v>
      </c>
      <c r="G31" s="138">
        <v>0</v>
      </c>
      <c r="H31" s="138">
        <v>0</v>
      </c>
      <c r="I31" s="111" t="s">
        <v>41</v>
      </c>
      <c r="J31" s="99">
        <f>(G31*66+34*H31)/100</f>
        <v>0</v>
      </c>
      <c r="K31" s="102">
        <f>IF(J31&gt;=10,E31,0)</f>
        <v>0</v>
      </c>
      <c r="L31" s="100"/>
      <c r="M31" s="103"/>
      <c r="O31" s="52" t="s">
        <v>128</v>
      </c>
      <c r="P31" s="54">
        <v>0</v>
      </c>
    </row>
    <row r="32" spans="2:16" x14ac:dyDescent="0.35">
      <c r="B32" s="6" t="s">
        <v>148</v>
      </c>
      <c r="C32" s="104"/>
      <c r="D32" s="110"/>
      <c r="E32" s="104"/>
      <c r="F32" s="104"/>
      <c r="G32" s="139"/>
      <c r="H32" s="139"/>
      <c r="I32" s="112"/>
      <c r="J32" s="101"/>
      <c r="K32" s="104"/>
      <c r="L32" s="100"/>
      <c r="M32" s="103"/>
    </row>
    <row r="33" spans="2:16" x14ac:dyDescent="0.35">
      <c r="B33" s="6" t="s">
        <v>159</v>
      </c>
      <c r="C33" s="142" t="s">
        <v>160</v>
      </c>
      <c r="D33" s="109" t="s">
        <v>161</v>
      </c>
      <c r="E33" s="102">
        <v>3</v>
      </c>
      <c r="F33" s="102">
        <v>2</v>
      </c>
      <c r="G33" s="138">
        <v>0</v>
      </c>
      <c r="H33" s="138">
        <v>0</v>
      </c>
      <c r="I33" s="111" t="s">
        <v>41</v>
      </c>
      <c r="J33" s="99">
        <f>(G33*66+34*H33)/100</f>
        <v>0</v>
      </c>
      <c r="K33" s="102">
        <f>IF(J33&gt;=10,E33,0)</f>
        <v>0</v>
      </c>
      <c r="L33" s="100"/>
      <c r="M33" s="103"/>
      <c r="O33" s="20" t="s">
        <v>131</v>
      </c>
      <c r="P33" s="21">
        <f>(L23*10+L29*6+L35)/17</f>
        <v>0</v>
      </c>
    </row>
    <row r="34" spans="2:16" x14ac:dyDescent="0.35">
      <c r="B34" s="7"/>
      <c r="C34" s="142"/>
      <c r="D34" s="110"/>
      <c r="E34" s="104"/>
      <c r="F34" s="104"/>
      <c r="G34" s="139"/>
      <c r="H34" s="139"/>
      <c r="I34" s="112"/>
      <c r="J34" s="101"/>
      <c r="K34" s="104"/>
      <c r="L34" s="101"/>
      <c r="M34" s="104"/>
      <c r="O34" s="20" t="s">
        <v>132</v>
      </c>
      <c r="P34" s="22">
        <f>IF(P33&gt;=10,30,SUM(M23:M38))</f>
        <v>0</v>
      </c>
    </row>
    <row r="35" spans="2:16" x14ac:dyDescent="0.35">
      <c r="B35" s="12" t="s">
        <v>9</v>
      </c>
      <c r="C35" s="77" t="s">
        <v>162</v>
      </c>
      <c r="D35" s="25"/>
      <c r="E35" s="77">
        <v>2</v>
      </c>
      <c r="F35" s="77">
        <v>1</v>
      </c>
      <c r="G35" s="85">
        <v>0</v>
      </c>
      <c r="H35" s="81" t="s">
        <v>41</v>
      </c>
      <c r="I35" s="81" t="s">
        <v>41</v>
      </c>
      <c r="J35" s="83">
        <f>G35</f>
        <v>0</v>
      </c>
      <c r="K35" s="77">
        <f>IF(J35&gt;=10,E35,0)</f>
        <v>0</v>
      </c>
      <c r="L35" s="83">
        <f>J35</f>
        <v>0</v>
      </c>
      <c r="M35" s="77">
        <f>IF(L35&gt;=10,E35,K35)</f>
        <v>0</v>
      </c>
    </row>
    <row r="36" spans="2:16" x14ac:dyDescent="0.35">
      <c r="B36" s="8" t="s">
        <v>163</v>
      </c>
      <c r="C36" s="108"/>
      <c r="D36" s="55" t="s">
        <v>164</v>
      </c>
      <c r="E36" s="108"/>
      <c r="F36" s="108"/>
      <c r="G36" s="144"/>
      <c r="H36" s="145"/>
      <c r="I36" s="145"/>
      <c r="J36" s="107"/>
      <c r="K36" s="108"/>
      <c r="L36" s="107"/>
      <c r="M36" s="108"/>
      <c r="O36" s="28" t="s">
        <v>75</v>
      </c>
      <c r="P36" s="29">
        <f>(L4*9+L10*5+L16+L23*10+L29*6+L35)/32</f>
        <v>0</v>
      </c>
    </row>
    <row r="37" spans="2:16" x14ac:dyDescent="0.35">
      <c r="B37" s="8" t="s">
        <v>14</v>
      </c>
      <c r="C37" s="108"/>
      <c r="D37" s="55" t="s">
        <v>165</v>
      </c>
      <c r="E37" s="108"/>
      <c r="F37" s="108"/>
      <c r="G37" s="144"/>
      <c r="H37" s="145"/>
      <c r="I37" s="145"/>
      <c r="J37" s="107"/>
      <c r="K37" s="108"/>
      <c r="L37" s="107"/>
      <c r="M37" s="108"/>
      <c r="O37" s="28" t="s">
        <v>81</v>
      </c>
      <c r="P37" s="22">
        <f>IF(P36&gt;=10,60,P19+P34)</f>
        <v>0</v>
      </c>
    </row>
    <row r="38" spans="2:16" x14ac:dyDescent="0.35">
      <c r="B38" s="9" t="s">
        <v>15</v>
      </c>
      <c r="C38" s="78"/>
      <c r="D38" s="26"/>
      <c r="E38" s="78"/>
      <c r="F38" s="78"/>
      <c r="G38" s="86"/>
      <c r="H38" s="82"/>
      <c r="I38" s="82"/>
      <c r="J38" s="84"/>
      <c r="K38" s="78"/>
      <c r="L38" s="84"/>
      <c r="M38" s="78"/>
      <c r="O38" s="28" t="s">
        <v>76</v>
      </c>
      <c r="P38" s="30" t="str">
        <f>IF(P36&gt;=10,"Admis",IF(AND(P37+P31&gt;=90,L4&gt;=10,L23&gt;=10),"Admis avec dettes","Ajournée"))</f>
        <v>Ajournée</v>
      </c>
    </row>
    <row r="40" spans="2:16" x14ac:dyDescent="0.35">
      <c r="L40" s="40"/>
      <c r="M40" s="40"/>
    </row>
    <row r="41" spans="2:16" x14ac:dyDescent="0.35">
      <c r="L41" s="40"/>
      <c r="M41" s="40"/>
    </row>
    <row r="42" spans="2:16" x14ac:dyDescent="0.35">
      <c r="L42" s="40"/>
      <c r="M42" s="40"/>
    </row>
    <row r="43" spans="2:16" x14ac:dyDescent="0.35">
      <c r="L43" s="40"/>
      <c r="M43" s="40"/>
    </row>
    <row r="44" spans="2:16" x14ac:dyDescent="0.35">
      <c r="L44" s="40"/>
      <c r="M44" s="40"/>
    </row>
    <row r="45" spans="2:16" x14ac:dyDescent="0.35">
      <c r="L45" s="40"/>
      <c r="M45" s="40"/>
    </row>
    <row r="57" spans="9:9" x14ac:dyDescent="0.35">
      <c r="I57" s="43"/>
    </row>
  </sheetData>
  <sheetProtection algorithmName="SHA-512" hashValue="NWBvgtWTqp5LMIYZgMtvuwE15oTEEzYNXntHaITiVc9ZlZAWTpdffOMKxsHrpcttzMylEKksG4MMYAFdS8r0Zg==" saltValue="j+hbXxPSX0UX95Gs7ZnDEg==" spinCount="100000" sheet="1" objects="1" scenarios="1" selectLockedCells="1"/>
  <mergeCells count="148">
    <mergeCell ref="O15:O17"/>
    <mergeCell ref="L35:L38"/>
    <mergeCell ref="M35:M38"/>
    <mergeCell ref="J33:J34"/>
    <mergeCell ref="K33:K34"/>
    <mergeCell ref="C35:C38"/>
    <mergeCell ref="E35:E38"/>
    <mergeCell ref="F35:F38"/>
    <mergeCell ref="G35:G38"/>
    <mergeCell ref="H35:H38"/>
    <mergeCell ref="I35:I38"/>
    <mergeCell ref="J35:J38"/>
    <mergeCell ref="K35:K38"/>
    <mergeCell ref="L29:L34"/>
    <mergeCell ref="M29:M34"/>
    <mergeCell ref="C31:C32"/>
    <mergeCell ref="D31:D32"/>
    <mergeCell ref="E31:E32"/>
    <mergeCell ref="F31:F32"/>
    <mergeCell ref="G31:G32"/>
    <mergeCell ref="H31:H32"/>
    <mergeCell ref="I31:I32"/>
    <mergeCell ref="J31:J32"/>
    <mergeCell ref="K31:K32"/>
    <mergeCell ref="C33:C34"/>
    <mergeCell ref="D33:D34"/>
    <mergeCell ref="E33:E34"/>
    <mergeCell ref="F33:F34"/>
    <mergeCell ref="G33:G34"/>
    <mergeCell ref="H33:H34"/>
    <mergeCell ref="I33:I34"/>
    <mergeCell ref="G27:G28"/>
    <mergeCell ref="H27:H28"/>
    <mergeCell ref="I27:I28"/>
    <mergeCell ref="J27:J28"/>
    <mergeCell ref="K27:K28"/>
    <mergeCell ref="C29:C30"/>
    <mergeCell ref="D29:D30"/>
    <mergeCell ref="E29:E30"/>
    <mergeCell ref="F29:F30"/>
    <mergeCell ref="G29:G30"/>
    <mergeCell ref="H29:H30"/>
    <mergeCell ref="I29:I30"/>
    <mergeCell ref="J29:J30"/>
    <mergeCell ref="K29:K30"/>
    <mergeCell ref="I23:I24"/>
    <mergeCell ref="J23:J24"/>
    <mergeCell ref="K23:K24"/>
    <mergeCell ref="L23:L28"/>
    <mergeCell ref="M23:M28"/>
    <mergeCell ref="C25:C26"/>
    <mergeCell ref="D25:D26"/>
    <mergeCell ref="E25:E26"/>
    <mergeCell ref="F25:F26"/>
    <mergeCell ref="G25:G26"/>
    <mergeCell ref="C23:C24"/>
    <mergeCell ref="D23:D24"/>
    <mergeCell ref="E23:E24"/>
    <mergeCell ref="F23:F24"/>
    <mergeCell ref="G23:G24"/>
    <mergeCell ref="H23:H24"/>
    <mergeCell ref="H25:H26"/>
    <mergeCell ref="I25:I26"/>
    <mergeCell ref="J25:J26"/>
    <mergeCell ref="K25:K26"/>
    <mergeCell ref="C27:C28"/>
    <mergeCell ref="D27:D28"/>
    <mergeCell ref="E27:E28"/>
    <mergeCell ref="F27:F28"/>
    <mergeCell ref="K16:K19"/>
    <mergeCell ref="L16:L19"/>
    <mergeCell ref="M16:M19"/>
    <mergeCell ref="B21:B22"/>
    <mergeCell ref="C21:D21"/>
    <mergeCell ref="E21:E22"/>
    <mergeCell ref="F21:F22"/>
    <mergeCell ref="G21:I21"/>
    <mergeCell ref="J14:J15"/>
    <mergeCell ref="K14:K15"/>
    <mergeCell ref="C16:C19"/>
    <mergeCell ref="D16:D19"/>
    <mergeCell ref="E16:E19"/>
    <mergeCell ref="F16:F19"/>
    <mergeCell ref="G16:G19"/>
    <mergeCell ref="H16:H19"/>
    <mergeCell ref="I16:I19"/>
    <mergeCell ref="J16:J19"/>
    <mergeCell ref="L10:L15"/>
    <mergeCell ref="M10:M15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C14:C15"/>
    <mergeCell ref="D14:D15"/>
    <mergeCell ref="E14:E15"/>
    <mergeCell ref="F14:F15"/>
    <mergeCell ref="G14:G15"/>
    <mergeCell ref="H14:H15"/>
    <mergeCell ref="I14:I15"/>
    <mergeCell ref="C10:C11"/>
    <mergeCell ref="D10:D11"/>
    <mergeCell ref="E10:E11"/>
    <mergeCell ref="F10:F11"/>
    <mergeCell ref="G10:G11"/>
    <mergeCell ref="H10:H11"/>
    <mergeCell ref="I10:I11"/>
    <mergeCell ref="J10:J11"/>
    <mergeCell ref="K10:K11"/>
    <mergeCell ref="M4:M9"/>
    <mergeCell ref="C6:C7"/>
    <mergeCell ref="D6:D7"/>
    <mergeCell ref="E6:E7"/>
    <mergeCell ref="F6:F7"/>
    <mergeCell ref="G6:G7"/>
    <mergeCell ref="C4:C5"/>
    <mergeCell ref="D4:D5"/>
    <mergeCell ref="E4:E5"/>
    <mergeCell ref="F4:F5"/>
    <mergeCell ref="G4:G5"/>
    <mergeCell ref="H4:H5"/>
    <mergeCell ref="H6:H7"/>
    <mergeCell ref="I6:I7"/>
    <mergeCell ref="J6:J7"/>
    <mergeCell ref="K6:K7"/>
    <mergeCell ref="C8:C9"/>
    <mergeCell ref="D8:D9"/>
    <mergeCell ref="E8:E9"/>
    <mergeCell ref="F8:F9"/>
    <mergeCell ref="G8:G9"/>
    <mergeCell ref="H8:H9"/>
    <mergeCell ref="I8:I9"/>
    <mergeCell ref="J8:J9"/>
    <mergeCell ref="B2:B3"/>
    <mergeCell ref="C2:D2"/>
    <mergeCell ref="E2:E3"/>
    <mergeCell ref="F2:F3"/>
    <mergeCell ref="G2:I2"/>
    <mergeCell ref="I4:I5"/>
    <mergeCell ref="J4:J5"/>
    <mergeCell ref="K4:K5"/>
    <mergeCell ref="L4:L9"/>
    <mergeCell ref="K8:K9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B2:Q60"/>
  <sheetViews>
    <sheetView workbookViewId="0">
      <selection activeCell="G4" sqref="G4:G5"/>
    </sheetView>
  </sheetViews>
  <sheetFormatPr baseColWidth="10" defaultColWidth="9.1796875" defaultRowHeight="14.5" x14ac:dyDescent="0.35"/>
  <cols>
    <col min="2" max="2" width="20.7265625" bestFit="1" customWidth="1"/>
    <col min="3" max="3" width="5.7265625" customWidth="1"/>
    <col min="4" max="4" width="39" bestFit="1" customWidth="1"/>
    <col min="5" max="9" width="5.7265625" customWidth="1"/>
    <col min="10" max="10" width="9.453125" bestFit="1" customWidth="1"/>
    <col min="11" max="11" width="7.453125" bestFit="1" customWidth="1"/>
    <col min="12" max="12" width="9.453125" bestFit="1" customWidth="1"/>
    <col min="13" max="13" width="7.453125" bestFit="1" customWidth="1"/>
    <col min="15" max="15" width="27.54296875" bestFit="1" customWidth="1"/>
    <col min="16" max="16" width="17.26953125" bestFit="1" customWidth="1"/>
  </cols>
  <sheetData>
    <row r="2" spans="2:14" ht="30" customHeight="1" x14ac:dyDescent="0.35">
      <c r="B2" s="140" t="s">
        <v>0</v>
      </c>
      <c r="C2" s="89" t="s">
        <v>17</v>
      </c>
      <c r="D2" s="90"/>
      <c r="E2" s="91" t="s">
        <v>37</v>
      </c>
      <c r="F2" s="93" t="s">
        <v>38</v>
      </c>
      <c r="G2" s="89" t="s">
        <v>39</v>
      </c>
      <c r="H2" s="95"/>
      <c r="I2" s="90"/>
      <c r="J2" s="14" t="s">
        <v>43</v>
      </c>
      <c r="K2" s="15" t="s">
        <v>44</v>
      </c>
      <c r="L2" s="16" t="s">
        <v>43</v>
      </c>
      <c r="M2" s="15" t="s">
        <v>44</v>
      </c>
      <c r="N2" s="30" t="s">
        <v>169</v>
      </c>
    </row>
    <row r="3" spans="2:14" x14ac:dyDescent="0.35">
      <c r="B3" s="140"/>
      <c r="C3" s="50" t="s">
        <v>18</v>
      </c>
      <c r="D3" s="50" t="s">
        <v>19</v>
      </c>
      <c r="E3" s="92"/>
      <c r="F3" s="94"/>
      <c r="G3" s="50" t="s">
        <v>87</v>
      </c>
      <c r="H3" s="50" t="s">
        <v>42</v>
      </c>
      <c r="I3" s="50" t="s">
        <v>40</v>
      </c>
      <c r="J3" s="17" t="s">
        <v>46</v>
      </c>
      <c r="K3" s="18" t="s">
        <v>45</v>
      </c>
      <c r="L3" s="47" t="s">
        <v>47</v>
      </c>
      <c r="M3" s="17" t="s">
        <v>47</v>
      </c>
    </row>
    <row r="4" spans="2:14" x14ac:dyDescent="0.35">
      <c r="B4" s="48"/>
      <c r="C4" s="118" t="s">
        <v>171</v>
      </c>
      <c r="D4" s="126" t="s">
        <v>193</v>
      </c>
      <c r="E4" s="118">
        <v>4</v>
      </c>
      <c r="F4" s="118">
        <v>2</v>
      </c>
      <c r="G4" s="130">
        <v>0</v>
      </c>
      <c r="H4" s="130">
        <v>0</v>
      </c>
      <c r="I4" s="130">
        <v>0</v>
      </c>
      <c r="J4" s="115">
        <f>(G4*66+34*(H4+I4)/2)/100</f>
        <v>0</v>
      </c>
      <c r="K4" s="118">
        <f>IF(J4&gt;=10,E4,0)</f>
        <v>0</v>
      </c>
      <c r="L4" s="115">
        <f>(J4*F4+J6*F6+J8*F8)/SUM(F4:F9)</f>
        <v>0</v>
      </c>
      <c r="M4" s="118">
        <f>IF(L4&gt;=10,SUM(E4:E9),SUM(K4:K9))</f>
        <v>0</v>
      </c>
    </row>
    <row r="5" spans="2:14" x14ac:dyDescent="0.35">
      <c r="B5" s="38" t="s">
        <v>1</v>
      </c>
      <c r="C5" s="120"/>
      <c r="D5" s="127"/>
      <c r="E5" s="120"/>
      <c r="F5" s="120"/>
      <c r="G5" s="131"/>
      <c r="H5" s="131"/>
      <c r="I5" s="131"/>
      <c r="J5" s="117"/>
      <c r="K5" s="120"/>
      <c r="L5" s="116"/>
      <c r="M5" s="119"/>
    </row>
    <row r="6" spans="2:14" x14ac:dyDescent="0.35">
      <c r="B6" s="4" t="s">
        <v>170</v>
      </c>
      <c r="C6" s="121" t="s">
        <v>172</v>
      </c>
      <c r="D6" s="123" t="s">
        <v>194</v>
      </c>
      <c r="E6" s="124">
        <v>4</v>
      </c>
      <c r="F6" s="118">
        <v>2</v>
      </c>
      <c r="G6" s="130">
        <v>0</v>
      </c>
      <c r="H6" s="132">
        <v>0</v>
      </c>
      <c r="I6" s="130">
        <v>0</v>
      </c>
      <c r="J6" s="115">
        <f>(G6*66+34*(H6+I6)/2)/100</f>
        <v>0</v>
      </c>
      <c r="K6" s="135">
        <f>IF(J6&gt;=10,E6,0)</f>
        <v>0</v>
      </c>
      <c r="L6" s="116"/>
      <c r="M6" s="119"/>
    </row>
    <row r="7" spans="2:14" x14ac:dyDescent="0.35">
      <c r="B7" s="4" t="s">
        <v>192</v>
      </c>
      <c r="C7" s="122"/>
      <c r="D7" s="123"/>
      <c r="E7" s="125"/>
      <c r="F7" s="120"/>
      <c r="G7" s="131"/>
      <c r="H7" s="133"/>
      <c r="I7" s="131"/>
      <c r="J7" s="117"/>
      <c r="K7" s="135"/>
      <c r="L7" s="116"/>
      <c r="M7" s="119"/>
    </row>
    <row r="8" spans="2:14" x14ac:dyDescent="0.35">
      <c r="B8" s="4" t="s">
        <v>159</v>
      </c>
      <c r="C8" s="118" t="s">
        <v>173</v>
      </c>
      <c r="D8" s="126" t="s">
        <v>195</v>
      </c>
      <c r="E8" s="118">
        <v>4</v>
      </c>
      <c r="F8" s="118">
        <v>2</v>
      </c>
      <c r="G8" s="130">
        <v>0</v>
      </c>
      <c r="H8" s="136" t="s">
        <v>41</v>
      </c>
      <c r="I8" s="130">
        <v>0</v>
      </c>
      <c r="J8" s="115">
        <f>(66*G8+34*I8)/100</f>
        <v>0</v>
      </c>
      <c r="K8" s="135">
        <f>IF(J8&gt;=10,E8,0)</f>
        <v>0</v>
      </c>
      <c r="L8" s="116"/>
      <c r="M8" s="119"/>
    </row>
    <row r="9" spans="2:14" x14ac:dyDescent="0.35">
      <c r="B9" s="37"/>
      <c r="C9" s="120"/>
      <c r="D9" s="127"/>
      <c r="E9" s="120"/>
      <c r="F9" s="120"/>
      <c r="G9" s="131"/>
      <c r="H9" s="137"/>
      <c r="I9" s="131"/>
      <c r="J9" s="117"/>
      <c r="K9" s="135"/>
      <c r="L9" s="117"/>
      <c r="M9" s="120"/>
    </row>
    <row r="10" spans="2:14" x14ac:dyDescent="0.35">
      <c r="B10" s="6" t="s">
        <v>1</v>
      </c>
      <c r="C10" s="102" t="s">
        <v>179</v>
      </c>
      <c r="D10" s="109" t="s">
        <v>196</v>
      </c>
      <c r="E10" s="102">
        <v>4</v>
      </c>
      <c r="F10" s="102">
        <v>2</v>
      </c>
      <c r="G10" s="138">
        <v>0</v>
      </c>
      <c r="H10" s="138">
        <v>0</v>
      </c>
      <c r="I10" s="138">
        <v>0</v>
      </c>
      <c r="J10" s="99">
        <f>(G10*66+34*(H10+I10)/2)/100</f>
        <v>0</v>
      </c>
      <c r="K10" s="102">
        <f>IF(J10&gt;=10,E10,0)</f>
        <v>0</v>
      </c>
      <c r="L10" s="99">
        <f>(J10*F10+J12*F12)/SUM(F10:F13)</f>
        <v>0</v>
      </c>
      <c r="M10" s="102">
        <f>IF(L10&gt;=10,SUM(E10:E13),SUM(K10:K13))</f>
        <v>0</v>
      </c>
    </row>
    <row r="11" spans="2:14" x14ac:dyDescent="0.35">
      <c r="B11" s="6" t="s">
        <v>178</v>
      </c>
      <c r="C11" s="104"/>
      <c r="D11" s="110"/>
      <c r="E11" s="104"/>
      <c r="F11" s="104"/>
      <c r="G11" s="139"/>
      <c r="H11" s="139"/>
      <c r="I11" s="139"/>
      <c r="J11" s="101"/>
      <c r="K11" s="104"/>
      <c r="L11" s="100"/>
      <c r="M11" s="103"/>
    </row>
    <row r="12" spans="2:14" x14ac:dyDescent="0.35">
      <c r="B12" s="6" t="s">
        <v>177</v>
      </c>
      <c r="C12" s="102" t="s">
        <v>180</v>
      </c>
      <c r="D12" s="109" t="s">
        <v>197</v>
      </c>
      <c r="E12" s="102">
        <v>4</v>
      </c>
      <c r="F12" s="102">
        <v>2</v>
      </c>
      <c r="G12" s="138">
        <v>0</v>
      </c>
      <c r="H12" s="138">
        <v>0</v>
      </c>
      <c r="I12" s="113">
        <v>0</v>
      </c>
      <c r="J12" s="99">
        <f>(G12*66+34*(H12+I12)/2)/100</f>
        <v>0</v>
      </c>
      <c r="K12" s="102">
        <f>IF(J12&gt;=10,E12,0)</f>
        <v>0</v>
      </c>
      <c r="L12" s="100"/>
      <c r="M12" s="103"/>
    </row>
    <row r="13" spans="2:14" x14ac:dyDescent="0.35">
      <c r="B13" s="7" t="s">
        <v>12</v>
      </c>
      <c r="C13" s="104"/>
      <c r="D13" s="110"/>
      <c r="E13" s="104"/>
      <c r="F13" s="104"/>
      <c r="G13" s="139"/>
      <c r="H13" s="139"/>
      <c r="I13" s="114"/>
      <c r="J13" s="101"/>
      <c r="K13" s="104"/>
      <c r="L13" s="101"/>
      <c r="M13" s="104"/>
    </row>
    <row r="14" spans="2:14" x14ac:dyDescent="0.35">
      <c r="B14" s="12" t="s">
        <v>5</v>
      </c>
      <c r="C14" s="77" t="s">
        <v>183</v>
      </c>
      <c r="D14" s="105" t="s">
        <v>198</v>
      </c>
      <c r="E14" s="77">
        <v>4</v>
      </c>
      <c r="F14" s="77">
        <v>2</v>
      </c>
      <c r="G14" s="79">
        <v>0</v>
      </c>
      <c r="H14" s="79">
        <v>0</v>
      </c>
      <c r="I14" s="81" t="s">
        <v>41</v>
      </c>
      <c r="J14" s="83">
        <f>(66*G14+34*H14)/100</f>
        <v>0</v>
      </c>
      <c r="K14" s="77">
        <f>IF(J14&gt;=10,E14,0)</f>
        <v>0</v>
      </c>
      <c r="L14" s="83">
        <f>(J14*F14+J16*F16)/SUM(F14:F17)</f>
        <v>0</v>
      </c>
      <c r="M14" s="77">
        <f>IF(L14&gt;=10,SUM(E14:E17),SUM(K14:K17))</f>
        <v>0</v>
      </c>
    </row>
    <row r="15" spans="2:14" x14ac:dyDescent="0.35">
      <c r="B15" s="8" t="s">
        <v>181</v>
      </c>
      <c r="C15" s="78"/>
      <c r="D15" s="106"/>
      <c r="E15" s="78"/>
      <c r="F15" s="78"/>
      <c r="G15" s="80"/>
      <c r="H15" s="80"/>
      <c r="I15" s="82"/>
      <c r="J15" s="84"/>
      <c r="K15" s="78"/>
      <c r="L15" s="107"/>
      <c r="M15" s="108"/>
    </row>
    <row r="16" spans="2:14" x14ac:dyDescent="0.35">
      <c r="B16" s="8" t="s">
        <v>177</v>
      </c>
      <c r="C16" s="77" t="s">
        <v>182</v>
      </c>
      <c r="D16" s="161" t="s">
        <v>199</v>
      </c>
      <c r="E16" s="77">
        <v>4</v>
      </c>
      <c r="F16" s="77">
        <v>2</v>
      </c>
      <c r="G16" s="85">
        <v>0</v>
      </c>
      <c r="H16" s="79">
        <v>0</v>
      </c>
      <c r="I16" s="81" t="s">
        <v>41</v>
      </c>
      <c r="J16" s="83">
        <f>(66*G16+34*H16)/100</f>
        <v>0</v>
      </c>
      <c r="K16" s="77">
        <f>IF(J16&gt;=10,E16,0)</f>
        <v>0</v>
      </c>
      <c r="L16" s="107"/>
      <c r="M16" s="108"/>
    </row>
    <row r="17" spans="2:17" x14ac:dyDescent="0.35">
      <c r="B17" s="9" t="s">
        <v>12</v>
      </c>
      <c r="C17" s="78"/>
      <c r="D17" s="106"/>
      <c r="E17" s="78"/>
      <c r="F17" s="78"/>
      <c r="G17" s="86"/>
      <c r="H17" s="80"/>
      <c r="I17" s="82"/>
      <c r="J17" s="84"/>
      <c r="K17" s="78"/>
      <c r="L17" s="84"/>
      <c r="M17" s="78"/>
    </row>
    <row r="18" spans="2:17" x14ac:dyDescent="0.35">
      <c r="B18" s="13" t="s">
        <v>13</v>
      </c>
      <c r="C18" s="67" t="s">
        <v>185</v>
      </c>
      <c r="D18" s="65" t="s">
        <v>36</v>
      </c>
      <c r="E18" s="67">
        <v>2</v>
      </c>
      <c r="F18" s="67">
        <v>1</v>
      </c>
      <c r="G18" s="75">
        <v>0</v>
      </c>
      <c r="H18" s="73" t="s">
        <v>41</v>
      </c>
      <c r="I18" s="73" t="s">
        <v>41</v>
      </c>
      <c r="J18" s="69">
        <f>G18</f>
        <v>0</v>
      </c>
      <c r="K18" s="67">
        <f>IF(J18&gt;=10,E18,0)</f>
        <v>0</v>
      </c>
      <c r="L18" s="69">
        <f>J18</f>
        <v>0</v>
      </c>
      <c r="M18" s="67">
        <f>IF(L18&gt;=10,E18,K18)</f>
        <v>0</v>
      </c>
      <c r="Q18" s="3"/>
    </row>
    <row r="19" spans="2:17" x14ac:dyDescent="0.35">
      <c r="B19" s="10" t="s">
        <v>184</v>
      </c>
      <c r="C19" s="72"/>
      <c r="D19" s="96"/>
      <c r="E19" s="72"/>
      <c r="F19" s="72"/>
      <c r="G19" s="97"/>
      <c r="H19" s="98"/>
      <c r="I19" s="98"/>
      <c r="J19" s="70"/>
      <c r="K19" s="72"/>
      <c r="L19" s="70"/>
      <c r="M19" s="72"/>
    </row>
    <row r="20" spans="2:17" x14ac:dyDescent="0.35">
      <c r="B20" s="10" t="s">
        <v>14</v>
      </c>
      <c r="C20" s="72"/>
      <c r="D20" s="96"/>
      <c r="E20" s="72"/>
      <c r="F20" s="72"/>
      <c r="G20" s="97"/>
      <c r="H20" s="98"/>
      <c r="I20" s="98"/>
      <c r="J20" s="70"/>
      <c r="K20" s="72"/>
      <c r="L20" s="70"/>
      <c r="M20" s="72"/>
      <c r="O20" s="20" t="s">
        <v>190</v>
      </c>
      <c r="P20" s="21">
        <f>(L4*6+L10*4+L14*4+L18)/15</f>
        <v>0</v>
      </c>
    </row>
    <row r="21" spans="2:17" ht="15" customHeight="1" x14ac:dyDescent="0.35">
      <c r="B21" s="11" t="s">
        <v>15</v>
      </c>
      <c r="C21" s="68"/>
      <c r="D21" s="66"/>
      <c r="E21" s="68"/>
      <c r="F21" s="68"/>
      <c r="G21" s="76"/>
      <c r="H21" s="74"/>
      <c r="I21" s="74"/>
      <c r="J21" s="71"/>
      <c r="K21" s="68"/>
      <c r="L21" s="71"/>
      <c r="M21" s="68"/>
      <c r="O21" s="20" t="s">
        <v>167</v>
      </c>
      <c r="P21" s="22">
        <f>IF(P20&gt;=10,30,SUM(M4:M21))</f>
        <v>0</v>
      </c>
    </row>
    <row r="22" spans="2:17" x14ac:dyDescent="0.35">
      <c r="B22" s="2" t="s">
        <v>139</v>
      </c>
      <c r="C22" s="2"/>
      <c r="D22" s="1"/>
      <c r="E22" t="s">
        <v>91</v>
      </c>
      <c r="L22" s="41" t="s">
        <v>191</v>
      </c>
      <c r="M22" t="s">
        <v>217</v>
      </c>
    </row>
    <row r="24" spans="2:17" x14ac:dyDescent="0.35">
      <c r="L24" s="40"/>
      <c r="M24" s="40"/>
    </row>
    <row r="25" spans="2:17" x14ac:dyDescent="0.35">
      <c r="L25" s="40"/>
      <c r="M25" s="40"/>
    </row>
    <row r="26" spans="2:17" x14ac:dyDescent="0.35">
      <c r="L26" s="40"/>
      <c r="M26" s="40"/>
    </row>
    <row r="27" spans="2:17" x14ac:dyDescent="0.35">
      <c r="L27" s="40"/>
      <c r="M27" s="40"/>
    </row>
    <row r="28" spans="2:17" x14ac:dyDescent="0.35">
      <c r="L28" s="40"/>
      <c r="M28" s="40"/>
    </row>
    <row r="29" spans="2:17" x14ac:dyDescent="0.35">
      <c r="L29" s="40"/>
      <c r="M29" s="40"/>
    </row>
    <row r="45" spans="3:13" x14ac:dyDescent="0.35"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</row>
    <row r="46" spans="3:13" x14ac:dyDescent="0.35"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</row>
    <row r="47" spans="3:13" x14ac:dyDescent="0.35"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</row>
    <row r="48" spans="3:13" x14ac:dyDescent="0.35"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</row>
    <row r="49" spans="3:13" x14ac:dyDescent="0.35"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</row>
    <row r="50" spans="3:13" x14ac:dyDescent="0.35"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</row>
    <row r="51" spans="3:13" x14ac:dyDescent="0.35"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</row>
    <row r="52" spans="3:13" x14ac:dyDescent="0.35"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</row>
    <row r="53" spans="3:13" x14ac:dyDescent="0.35"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</row>
    <row r="54" spans="3:13" x14ac:dyDescent="0.35"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</row>
    <row r="55" spans="3:13" x14ac:dyDescent="0.35"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</row>
    <row r="56" spans="3:13" x14ac:dyDescent="0.35"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</row>
    <row r="57" spans="3:13" x14ac:dyDescent="0.35">
      <c r="C57" s="40"/>
      <c r="E57" s="40"/>
      <c r="F57" s="40"/>
      <c r="G57" s="40"/>
      <c r="H57" s="40"/>
      <c r="I57" s="40"/>
      <c r="J57" s="40"/>
      <c r="K57" s="40"/>
      <c r="L57" s="40"/>
      <c r="M57" s="40"/>
    </row>
    <row r="58" spans="3:13" x14ac:dyDescent="0.35">
      <c r="C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3:13" x14ac:dyDescent="0.35"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</row>
    <row r="60" spans="3:13" x14ac:dyDescent="0.35"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</row>
  </sheetData>
  <sheetProtection algorithmName="SHA-512" hashValue="kRWtkPTuKcvur1GmMmSdHBpQ1zDiYCTxx/VTyhm5NTGeYsNfaJvwlAdf866xy1AYFcT9lMSYu1bXMQQhOW/sxA==" saltValue="eIFxHFeWiy4kojpJlWf8eA==" spinCount="100000" sheet="1" objects="1" scenarios="1" selectLockedCells="1"/>
  <mergeCells count="85">
    <mergeCell ref="C4:C5"/>
    <mergeCell ref="D4:D5"/>
    <mergeCell ref="E4:E5"/>
    <mergeCell ref="F4:F5"/>
    <mergeCell ref="G4:G5"/>
    <mergeCell ref="B2:B3"/>
    <mergeCell ref="C2:D2"/>
    <mergeCell ref="E2:E3"/>
    <mergeCell ref="F2:F3"/>
    <mergeCell ref="G2:I2"/>
    <mergeCell ref="L4:L9"/>
    <mergeCell ref="M4:M9"/>
    <mergeCell ref="I6:I7"/>
    <mergeCell ref="J6:J7"/>
    <mergeCell ref="K6:K7"/>
    <mergeCell ref="I8:I9"/>
    <mergeCell ref="J8:J9"/>
    <mergeCell ref="K8:K9"/>
    <mergeCell ref="H6:H7"/>
    <mergeCell ref="H4:H5"/>
    <mergeCell ref="I4:I5"/>
    <mergeCell ref="J4:J5"/>
    <mergeCell ref="K4:K5"/>
    <mergeCell ref="C6:C7"/>
    <mergeCell ref="D6:D7"/>
    <mergeCell ref="E6:E7"/>
    <mergeCell ref="F6:F7"/>
    <mergeCell ref="G6:G7"/>
    <mergeCell ref="H8:H9"/>
    <mergeCell ref="C10:C11"/>
    <mergeCell ref="D10:D11"/>
    <mergeCell ref="E10:E11"/>
    <mergeCell ref="F10:F11"/>
    <mergeCell ref="G10:G11"/>
    <mergeCell ref="C8:C9"/>
    <mergeCell ref="D8:D9"/>
    <mergeCell ref="E8:E9"/>
    <mergeCell ref="F8:F9"/>
    <mergeCell ref="G8:G9"/>
    <mergeCell ref="K10:K11"/>
    <mergeCell ref="L10:L13"/>
    <mergeCell ref="M10:M13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H10:H11"/>
    <mergeCell ref="I10:I11"/>
    <mergeCell ref="J10:J11"/>
    <mergeCell ref="C14:C15"/>
    <mergeCell ref="D14:D15"/>
    <mergeCell ref="E14:E15"/>
    <mergeCell ref="F14:F15"/>
    <mergeCell ref="G14:G15"/>
    <mergeCell ref="C16:C17"/>
    <mergeCell ref="D16:D17"/>
    <mergeCell ref="E16:E17"/>
    <mergeCell ref="F16:F17"/>
    <mergeCell ref="G16:G17"/>
    <mergeCell ref="K18:K21"/>
    <mergeCell ref="L18:L21"/>
    <mergeCell ref="H14:H15"/>
    <mergeCell ref="I14:I15"/>
    <mergeCell ref="J14:J15"/>
    <mergeCell ref="M18:M21"/>
    <mergeCell ref="J16:J17"/>
    <mergeCell ref="K16:K17"/>
    <mergeCell ref="M14:M17"/>
    <mergeCell ref="C18:C21"/>
    <mergeCell ref="D18:D21"/>
    <mergeCell ref="E18:E21"/>
    <mergeCell ref="F18:F21"/>
    <mergeCell ref="G18:G21"/>
    <mergeCell ref="H18:H21"/>
    <mergeCell ref="I18:I21"/>
    <mergeCell ref="J18:J21"/>
    <mergeCell ref="K14:K15"/>
    <mergeCell ref="L14:L17"/>
    <mergeCell ref="H16:H17"/>
    <mergeCell ref="I16:I1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B2:Q58"/>
  <sheetViews>
    <sheetView workbookViewId="0">
      <selection activeCell="G4" sqref="G4:G5"/>
    </sheetView>
  </sheetViews>
  <sheetFormatPr baseColWidth="10" defaultColWidth="9.1796875" defaultRowHeight="14.5" x14ac:dyDescent="0.35"/>
  <cols>
    <col min="2" max="2" width="20.7265625" bestFit="1" customWidth="1"/>
    <col min="3" max="3" width="5.7265625" customWidth="1"/>
    <col min="4" max="4" width="39" bestFit="1" customWidth="1"/>
    <col min="5" max="9" width="5.7265625" customWidth="1"/>
    <col min="10" max="10" width="9.453125" bestFit="1" customWidth="1"/>
    <col min="11" max="11" width="7.453125" bestFit="1" customWidth="1"/>
    <col min="12" max="12" width="9.453125" bestFit="1" customWidth="1"/>
    <col min="13" max="13" width="7.453125" bestFit="1" customWidth="1"/>
    <col min="15" max="15" width="27.54296875" bestFit="1" customWidth="1"/>
    <col min="16" max="16" width="17.26953125" bestFit="1" customWidth="1"/>
  </cols>
  <sheetData>
    <row r="2" spans="2:17" ht="30" customHeight="1" x14ac:dyDescent="0.35">
      <c r="B2" s="140" t="s">
        <v>0</v>
      </c>
      <c r="C2" s="89" t="s">
        <v>17</v>
      </c>
      <c r="D2" s="90"/>
      <c r="E2" s="91" t="s">
        <v>37</v>
      </c>
      <c r="F2" s="93" t="s">
        <v>38</v>
      </c>
      <c r="G2" s="89" t="s">
        <v>39</v>
      </c>
      <c r="H2" s="95"/>
      <c r="I2" s="90"/>
      <c r="J2" s="14" t="s">
        <v>43</v>
      </c>
      <c r="K2" s="15" t="s">
        <v>44</v>
      </c>
      <c r="L2" s="16" t="s">
        <v>43</v>
      </c>
      <c r="M2" s="15" t="s">
        <v>44</v>
      </c>
      <c r="N2" s="30" t="s">
        <v>169</v>
      </c>
    </row>
    <row r="3" spans="2:17" x14ac:dyDescent="0.35">
      <c r="B3" s="140"/>
      <c r="C3" s="50" t="s">
        <v>18</v>
      </c>
      <c r="D3" s="50" t="s">
        <v>19</v>
      </c>
      <c r="E3" s="92"/>
      <c r="F3" s="94"/>
      <c r="G3" s="50" t="s">
        <v>87</v>
      </c>
      <c r="H3" s="50" t="s">
        <v>42</v>
      </c>
      <c r="I3" s="50" t="s">
        <v>40</v>
      </c>
      <c r="J3" s="17" t="s">
        <v>46</v>
      </c>
      <c r="K3" s="18" t="s">
        <v>45</v>
      </c>
      <c r="L3" s="47" t="s">
        <v>47</v>
      </c>
      <c r="M3" s="17" t="s">
        <v>47</v>
      </c>
    </row>
    <row r="4" spans="2:17" x14ac:dyDescent="0.35">
      <c r="B4" s="49" t="s">
        <v>1</v>
      </c>
      <c r="C4" s="118" t="s">
        <v>171</v>
      </c>
      <c r="D4" s="126" t="s">
        <v>200</v>
      </c>
      <c r="E4" s="118">
        <v>5</v>
      </c>
      <c r="F4" s="118">
        <v>3</v>
      </c>
      <c r="G4" s="130">
        <v>0</v>
      </c>
      <c r="H4" s="130">
        <v>0</v>
      </c>
      <c r="I4" s="136" t="s">
        <v>41</v>
      </c>
      <c r="J4" s="115">
        <f>(66*G4+34*H4)/100</f>
        <v>0</v>
      </c>
      <c r="K4" s="118">
        <f>IF(J4&gt;=10,E4,0)</f>
        <v>0</v>
      </c>
      <c r="L4" s="115">
        <f>(J4*F4+J6*F6)/SUM(F4:F7)</f>
        <v>0</v>
      </c>
      <c r="M4" s="118">
        <f>IF(L4&gt;=10,SUM(E4:E7),SUM(K4:K7))</f>
        <v>0</v>
      </c>
    </row>
    <row r="5" spans="2:17" x14ac:dyDescent="0.35">
      <c r="B5" s="4" t="s">
        <v>170</v>
      </c>
      <c r="C5" s="120"/>
      <c r="D5" s="127"/>
      <c r="E5" s="120"/>
      <c r="F5" s="120"/>
      <c r="G5" s="131"/>
      <c r="H5" s="131"/>
      <c r="I5" s="137"/>
      <c r="J5" s="117"/>
      <c r="K5" s="120"/>
      <c r="L5" s="116"/>
      <c r="M5" s="119"/>
    </row>
    <row r="6" spans="2:17" x14ac:dyDescent="0.35">
      <c r="B6" s="4" t="s">
        <v>49</v>
      </c>
      <c r="C6" s="121" t="s">
        <v>172</v>
      </c>
      <c r="D6" s="123" t="s">
        <v>201</v>
      </c>
      <c r="E6" s="124">
        <v>6</v>
      </c>
      <c r="F6" s="118">
        <v>4</v>
      </c>
      <c r="G6" s="130">
        <v>0</v>
      </c>
      <c r="H6" s="132">
        <v>0</v>
      </c>
      <c r="I6" s="136" t="s">
        <v>41</v>
      </c>
      <c r="J6" s="115">
        <f t="shared" ref="J6" si="0">(66*G6+34*H6)/100</f>
        <v>0</v>
      </c>
      <c r="K6" s="135">
        <f>IF(J6&gt;=10,E6,0)</f>
        <v>0</v>
      </c>
      <c r="L6" s="116"/>
      <c r="M6" s="119"/>
    </row>
    <row r="7" spans="2:17" x14ac:dyDescent="0.35">
      <c r="B7" s="5" t="s">
        <v>99</v>
      </c>
      <c r="C7" s="122"/>
      <c r="D7" s="123"/>
      <c r="E7" s="125"/>
      <c r="F7" s="120"/>
      <c r="G7" s="131"/>
      <c r="H7" s="133"/>
      <c r="I7" s="137"/>
      <c r="J7" s="117"/>
      <c r="K7" s="135"/>
      <c r="L7" s="116"/>
      <c r="M7" s="119"/>
    </row>
    <row r="8" spans="2:17" x14ac:dyDescent="0.35">
      <c r="B8" s="6" t="s">
        <v>1</v>
      </c>
      <c r="C8" s="102" t="s">
        <v>179</v>
      </c>
      <c r="D8" s="109" t="s">
        <v>202</v>
      </c>
      <c r="E8" s="102">
        <v>5</v>
      </c>
      <c r="F8" s="102">
        <v>4</v>
      </c>
      <c r="G8" s="138">
        <v>0</v>
      </c>
      <c r="H8" s="138">
        <v>0</v>
      </c>
      <c r="I8" s="111" t="s">
        <v>41</v>
      </c>
      <c r="J8" s="99">
        <f t="shared" ref="J8" si="1">(66*G8+34*H8)/100</f>
        <v>0</v>
      </c>
      <c r="K8" s="146">
        <f>IF(J8&gt;=10,E8,0)</f>
        <v>0</v>
      </c>
      <c r="L8" s="99">
        <f>(J8*F8+J10*F10)/SUM(F8:F11)</f>
        <v>0</v>
      </c>
      <c r="M8" s="102">
        <f>IF(L8&gt;=10,SUM(E8:E11),SUM(K8:K11))</f>
        <v>0</v>
      </c>
    </row>
    <row r="9" spans="2:17" x14ac:dyDescent="0.35">
      <c r="B9" s="6" t="s">
        <v>178</v>
      </c>
      <c r="C9" s="104"/>
      <c r="D9" s="110"/>
      <c r="E9" s="104"/>
      <c r="F9" s="104"/>
      <c r="G9" s="139"/>
      <c r="H9" s="139"/>
      <c r="I9" s="112"/>
      <c r="J9" s="101"/>
      <c r="K9" s="147"/>
      <c r="L9" s="100"/>
      <c r="M9" s="103"/>
    </row>
    <row r="10" spans="2:17" x14ac:dyDescent="0.35">
      <c r="B10" s="6" t="s">
        <v>49</v>
      </c>
      <c r="C10" s="102" t="s">
        <v>180</v>
      </c>
      <c r="D10" s="167" t="s">
        <v>203</v>
      </c>
      <c r="E10" s="102">
        <v>6</v>
      </c>
      <c r="F10" s="102">
        <v>2</v>
      </c>
      <c r="G10" s="138">
        <v>0</v>
      </c>
      <c r="H10" s="138">
        <v>0</v>
      </c>
      <c r="I10" s="111" t="s">
        <v>41</v>
      </c>
      <c r="J10" s="99">
        <f t="shared" ref="J10" si="2">(66*G10+34*H10)/100</f>
        <v>0</v>
      </c>
      <c r="K10" s="146">
        <f>IF(J10&gt;=10,E10,0)</f>
        <v>0</v>
      </c>
      <c r="L10" s="100"/>
      <c r="M10" s="103"/>
    </row>
    <row r="11" spans="2:17" x14ac:dyDescent="0.35">
      <c r="B11" s="7" t="s">
        <v>159</v>
      </c>
      <c r="C11" s="104"/>
      <c r="D11" s="110"/>
      <c r="E11" s="104"/>
      <c r="F11" s="104"/>
      <c r="G11" s="139"/>
      <c r="H11" s="139"/>
      <c r="I11" s="112"/>
      <c r="J11" s="101"/>
      <c r="K11" s="147"/>
      <c r="L11" s="100"/>
      <c r="M11" s="104"/>
    </row>
    <row r="12" spans="2:17" x14ac:dyDescent="0.35">
      <c r="B12" s="12" t="s">
        <v>5</v>
      </c>
      <c r="C12" s="77" t="s">
        <v>183</v>
      </c>
      <c r="D12" s="161" t="s">
        <v>204</v>
      </c>
      <c r="E12" s="77">
        <v>5</v>
      </c>
      <c r="F12" s="77">
        <v>2</v>
      </c>
      <c r="G12" s="79">
        <v>0</v>
      </c>
      <c r="H12" s="79">
        <v>0</v>
      </c>
      <c r="I12" s="79">
        <v>0</v>
      </c>
      <c r="J12" s="163">
        <f>(G12*66+34*(H12+I12)/2)/100</f>
        <v>0</v>
      </c>
      <c r="K12" s="77">
        <f>IF(J12&gt;=10,E12,0)</f>
        <v>0</v>
      </c>
      <c r="L12" s="83">
        <f>J12</f>
        <v>0</v>
      </c>
      <c r="M12" s="77">
        <f>IF(L12&gt;=10,E12,K12)</f>
        <v>0</v>
      </c>
    </row>
    <row r="13" spans="2:17" x14ac:dyDescent="0.35">
      <c r="B13" s="8" t="s">
        <v>181</v>
      </c>
      <c r="C13" s="108"/>
      <c r="D13" s="143"/>
      <c r="E13" s="108"/>
      <c r="F13" s="108"/>
      <c r="G13" s="162"/>
      <c r="H13" s="162"/>
      <c r="I13" s="162"/>
      <c r="J13" s="164"/>
      <c r="K13" s="108"/>
      <c r="L13" s="107"/>
      <c r="M13" s="108"/>
    </row>
    <row r="14" spans="2:17" x14ac:dyDescent="0.35">
      <c r="B14" s="8" t="s">
        <v>215</v>
      </c>
      <c r="C14" s="108"/>
      <c r="D14" s="143"/>
      <c r="E14" s="108"/>
      <c r="F14" s="108"/>
      <c r="G14" s="162"/>
      <c r="H14" s="162"/>
      <c r="I14" s="162"/>
      <c r="J14" s="164"/>
      <c r="K14" s="108"/>
      <c r="L14" s="107"/>
      <c r="M14" s="108"/>
    </row>
    <row r="15" spans="2:17" x14ac:dyDescent="0.35">
      <c r="B15" s="9" t="s">
        <v>8</v>
      </c>
      <c r="C15" s="78"/>
      <c r="D15" s="106"/>
      <c r="E15" s="78"/>
      <c r="F15" s="78"/>
      <c r="G15" s="80"/>
      <c r="H15" s="80"/>
      <c r="I15" s="80"/>
      <c r="J15" s="165"/>
      <c r="K15" s="78"/>
      <c r="L15" s="84"/>
      <c r="M15" s="78"/>
    </row>
    <row r="16" spans="2:17" x14ac:dyDescent="0.35">
      <c r="B16" s="13" t="s">
        <v>13</v>
      </c>
      <c r="C16" s="67" t="s">
        <v>185</v>
      </c>
      <c r="D16" s="166" t="s">
        <v>205</v>
      </c>
      <c r="E16" s="67">
        <v>3</v>
      </c>
      <c r="F16" s="67">
        <v>1</v>
      </c>
      <c r="G16" s="75">
        <v>0</v>
      </c>
      <c r="H16" s="73" t="s">
        <v>41</v>
      </c>
      <c r="I16" s="73" t="s">
        <v>41</v>
      </c>
      <c r="J16" s="69">
        <f>G16</f>
        <v>0</v>
      </c>
      <c r="K16" s="67">
        <f>IF(J16&gt;=10,E16,0)</f>
        <v>0</v>
      </c>
      <c r="L16" s="69">
        <f>J16</f>
        <v>0</v>
      </c>
      <c r="M16" s="67">
        <f>IF(L16&gt;=10,E16,K16)</f>
        <v>0</v>
      </c>
      <c r="Q16" s="3"/>
    </row>
    <row r="17" spans="2:16" x14ac:dyDescent="0.35">
      <c r="B17" s="10" t="s">
        <v>184</v>
      </c>
      <c r="C17" s="72"/>
      <c r="D17" s="96"/>
      <c r="E17" s="72"/>
      <c r="F17" s="72"/>
      <c r="G17" s="97"/>
      <c r="H17" s="98"/>
      <c r="I17" s="98"/>
      <c r="J17" s="70"/>
      <c r="K17" s="72"/>
      <c r="L17" s="70"/>
      <c r="M17" s="72"/>
    </row>
    <row r="18" spans="2:16" x14ac:dyDescent="0.35">
      <c r="B18" s="10" t="s">
        <v>70</v>
      </c>
      <c r="C18" s="72"/>
      <c r="D18" s="96"/>
      <c r="E18" s="72"/>
      <c r="F18" s="72"/>
      <c r="G18" s="97"/>
      <c r="H18" s="98"/>
      <c r="I18" s="98"/>
      <c r="J18" s="70"/>
      <c r="K18" s="72"/>
      <c r="L18" s="70"/>
      <c r="M18" s="72"/>
      <c r="O18" s="20" t="s">
        <v>190</v>
      </c>
      <c r="P18" s="21">
        <f>(L4*7+L8*6+L12*2+L16)/16</f>
        <v>0</v>
      </c>
    </row>
    <row r="19" spans="2:16" ht="15" customHeight="1" x14ac:dyDescent="0.35">
      <c r="B19" s="11" t="s">
        <v>15</v>
      </c>
      <c r="C19" s="68"/>
      <c r="D19" s="66"/>
      <c r="E19" s="68"/>
      <c r="F19" s="68"/>
      <c r="G19" s="76"/>
      <c r="H19" s="74"/>
      <c r="I19" s="74"/>
      <c r="J19" s="71"/>
      <c r="K19" s="68"/>
      <c r="L19" s="71"/>
      <c r="M19" s="68"/>
      <c r="O19" s="20" t="s">
        <v>167</v>
      </c>
      <c r="P19" s="22">
        <f>IF(P18&gt;=10,30,SUM(M4:M19))</f>
        <v>0</v>
      </c>
    </row>
    <row r="20" spans="2:16" x14ac:dyDescent="0.35">
      <c r="B20" s="2" t="s">
        <v>139</v>
      </c>
      <c r="C20" s="2"/>
      <c r="D20" s="1"/>
      <c r="E20" t="s">
        <v>91</v>
      </c>
      <c r="L20" s="41" t="s">
        <v>206</v>
      </c>
      <c r="M20" t="s">
        <v>217</v>
      </c>
    </row>
    <row r="22" spans="2:16" x14ac:dyDescent="0.35">
      <c r="L22" s="40"/>
      <c r="M22" s="40"/>
    </row>
    <row r="23" spans="2:16" x14ac:dyDescent="0.35">
      <c r="L23" s="40"/>
      <c r="M23" s="40"/>
    </row>
    <row r="24" spans="2:16" x14ac:dyDescent="0.35">
      <c r="L24" s="40"/>
      <c r="M24" s="40"/>
    </row>
    <row r="25" spans="2:16" x14ac:dyDescent="0.35">
      <c r="L25" s="40"/>
      <c r="M25" s="40"/>
    </row>
    <row r="26" spans="2:16" x14ac:dyDescent="0.35">
      <c r="L26" s="40"/>
      <c r="M26" s="40"/>
    </row>
    <row r="27" spans="2:16" x14ac:dyDescent="0.35">
      <c r="L27" s="40"/>
      <c r="M27" s="40"/>
    </row>
    <row r="43" spans="3:13" x14ac:dyDescent="0.35"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</row>
    <row r="44" spans="3:13" x14ac:dyDescent="0.35"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</row>
    <row r="45" spans="3:13" x14ac:dyDescent="0.35"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</row>
    <row r="46" spans="3:13" x14ac:dyDescent="0.35"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</row>
    <row r="47" spans="3:13" x14ac:dyDescent="0.35"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</row>
    <row r="48" spans="3:13" x14ac:dyDescent="0.35"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</row>
    <row r="49" spans="3:13" x14ac:dyDescent="0.35"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</row>
    <row r="50" spans="3:13" x14ac:dyDescent="0.35"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</row>
    <row r="51" spans="3:13" x14ac:dyDescent="0.35"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</row>
    <row r="52" spans="3:13" x14ac:dyDescent="0.35"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</row>
    <row r="53" spans="3:13" x14ac:dyDescent="0.35"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</row>
    <row r="54" spans="3:13" x14ac:dyDescent="0.35"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</row>
    <row r="55" spans="3:13" x14ac:dyDescent="0.35">
      <c r="C55" s="40"/>
      <c r="E55" s="40"/>
      <c r="F55" s="40"/>
      <c r="G55" s="40"/>
      <c r="H55" s="40"/>
      <c r="I55" s="40"/>
      <c r="J55" s="40"/>
      <c r="K55" s="40"/>
      <c r="L55" s="40"/>
      <c r="M55" s="40"/>
    </row>
    <row r="56" spans="3:13" x14ac:dyDescent="0.35">
      <c r="C56" s="40"/>
      <c r="E56" s="40"/>
      <c r="F56" s="40"/>
      <c r="G56" s="40"/>
      <c r="H56" s="40"/>
      <c r="I56" s="40"/>
      <c r="J56" s="40"/>
      <c r="K56" s="40"/>
      <c r="L56" s="40"/>
      <c r="M56" s="40"/>
    </row>
    <row r="57" spans="3:13" x14ac:dyDescent="0.35"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</row>
    <row r="58" spans="3:13" x14ac:dyDescent="0.35"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</row>
  </sheetData>
  <sheetProtection algorithmName="SHA-512" hashValue="YTc3zRG2cKp4qTY7YUc4//E0THxryPKNlU3XCM5bmztsuhLDEOQgGZE+1JbsfopwUVVkVe4pxeqW8f92Je3Pkw==" saltValue="Bdj3EAZrSkjGjf+kjVml/w==" spinCount="100000" sheet="1" objects="1" scenarios="1" selectLockedCells="1"/>
  <mergeCells count="67">
    <mergeCell ref="C4:C5"/>
    <mergeCell ref="D4:D5"/>
    <mergeCell ref="E4:E5"/>
    <mergeCell ref="F4:F5"/>
    <mergeCell ref="G4:G5"/>
    <mergeCell ref="B2:B3"/>
    <mergeCell ref="C2:D2"/>
    <mergeCell ref="E2:E3"/>
    <mergeCell ref="F2:F3"/>
    <mergeCell ref="G2:I2"/>
    <mergeCell ref="H4:H5"/>
    <mergeCell ref="I4:I5"/>
    <mergeCell ref="J4:J5"/>
    <mergeCell ref="K4:K5"/>
    <mergeCell ref="I6:I7"/>
    <mergeCell ref="J6:J7"/>
    <mergeCell ref="K6:K7"/>
    <mergeCell ref="H8:H9"/>
    <mergeCell ref="I8:I9"/>
    <mergeCell ref="C6:C7"/>
    <mergeCell ref="D6:D7"/>
    <mergeCell ref="E6:E7"/>
    <mergeCell ref="F6:F7"/>
    <mergeCell ref="G6:G7"/>
    <mergeCell ref="H6:H7"/>
    <mergeCell ref="K8:K9"/>
    <mergeCell ref="L8:L11"/>
    <mergeCell ref="M8:M11"/>
    <mergeCell ref="C10:C11"/>
    <mergeCell ref="D10:D11"/>
    <mergeCell ref="E10:E11"/>
    <mergeCell ref="F10:F11"/>
    <mergeCell ref="G10:G11"/>
    <mergeCell ref="H10:H11"/>
    <mergeCell ref="I10:I11"/>
    <mergeCell ref="J8:J9"/>
    <mergeCell ref="C8:C9"/>
    <mergeCell ref="D8:D9"/>
    <mergeCell ref="E8:E9"/>
    <mergeCell ref="F8:F9"/>
    <mergeCell ref="G8:G9"/>
    <mergeCell ref="M16:M19"/>
    <mergeCell ref="L4:L7"/>
    <mergeCell ref="M4:M7"/>
    <mergeCell ref="D12:D15"/>
    <mergeCell ref="C16:C19"/>
    <mergeCell ref="D16:D19"/>
    <mergeCell ref="E16:E19"/>
    <mergeCell ref="F16:F19"/>
    <mergeCell ref="G16:G19"/>
    <mergeCell ref="H16:H19"/>
    <mergeCell ref="I16:I19"/>
    <mergeCell ref="J16:J19"/>
    <mergeCell ref="L12:L15"/>
    <mergeCell ref="M12:M15"/>
    <mergeCell ref="J10:J11"/>
    <mergeCell ref="K10:K11"/>
    <mergeCell ref="I12:I15"/>
    <mergeCell ref="J12:J15"/>
    <mergeCell ref="K12:K15"/>
    <mergeCell ref="K16:K19"/>
    <mergeCell ref="L16:L19"/>
    <mergeCell ref="C12:C15"/>
    <mergeCell ref="E12:E15"/>
    <mergeCell ref="F12:F15"/>
    <mergeCell ref="G12:G15"/>
    <mergeCell ref="H12:H15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I1:M19"/>
  <sheetViews>
    <sheetView workbookViewId="0">
      <selection activeCell="J6" sqref="J6"/>
    </sheetView>
  </sheetViews>
  <sheetFormatPr baseColWidth="10" defaultColWidth="9.1796875" defaultRowHeight="14.5" x14ac:dyDescent="0.35"/>
  <cols>
    <col min="2" max="2" width="20.7265625" bestFit="1" customWidth="1"/>
    <col min="3" max="3" width="5.7265625" customWidth="1"/>
    <col min="4" max="4" width="39" bestFit="1" customWidth="1"/>
    <col min="5" max="9" width="5.7265625" customWidth="1"/>
    <col min="10" max="10" width="9.453125" bestFit="1" customWidth="1"/>
    <col min="11" max="11" width="7.453125" bestFit="1" customWidth="1"/>
    <col min="12" max="12" width="9.453125" bestFit="1" customWidth="1"/>
    <col min="13" max="13" width="6.453125" bestFit="1" customWidth="1"/>
    <col min="15" max="15" width="31.26953125" bestFit="1" customWidth="1"/>
    <col min="16" max="16" width="17.26953125" bestFit="1" customWidth="1"/>
  </cols>
  <sheetData>
    <row r="1" spans="9:13" x14ac:dyDescent="0.35">
      <c r="K1" s="56"/>
    </row>
    <row r="2" spans="9:13" ht="18.5" x14ac:dyDescent="0.35">
      <c r="I2" s="57" t="s">
        <v>84</v>
      </c>
      <c r="J2" s="63">
        <v>0</v>
      </c>
      <c r="K2" s="58" t="s">
        <v>207</v>
      </c>
      <c r="L2" s="170">
        <f>IF(L6=0,0,SUM((J2+J3+J4+J5+J6+J7)/L6))</f>
        <v>9.6933333333333316</v>
      </c>
      <c r="M2" s="170"/>
    </row>
    <row r="3" spans="9:13" ht="18.5" x14ac:dyDescent="0.35">
      <c r="I3" s="57" t="s">
        <v>85</v>
      </c>
      <c r="J3" s="63">
        <v>0</v>
      </c>
      <c r="K3" s="59" t="s">
        <v>208</v>
      </c>
      <c r="L3" s="171">
        <v>0</v>
      </c>
      <c r="M3" s="172"/>
    </row>
    <row r="4" spans="9:13" ht="18.5" x14ac:dyDescent="0.35">
      <c r="I4" s="57" t="s">
        <v>88</v>
      </c>
      <c r="J4" s="63">
        <v>0</v>
      </c>
      <c r="K4" s="59" t="s">
        <v>209</v>
      </c>
      <c r="L4" s="173">
        <v>0</v>
      </c>
      <c r="M4" s="173"/>
    </row>
    <row r="5" spans="9:13" ht="18.5" x14ac:dyDescent="0.35">
      <c r="I5" s="57" t="s">
        <v>89</v>
      </c>
      <c r="J5" s="64">
        <v>0</v>
      </c>
      <c r="K5" s="59" t="s">
        <v>210</v>
      </c>
      <c r="L5" s="173">
        <v>0</v>
      </c>
      <c r="M5" s="173"/>
    </row>
    <row r="6" spans="9:13" ht="19" thickBot="1" x14ac:dyDescent="0.4">
      <c r="I6" s="57" t="s">
        <v>169</v>
      </c>
      <c r="J6" s="64">
        <v>9.6933333333333316</v>
      </c>
      <c r="K6" s="60" t="s">
        <v>211</v>
      </c>
      <c r="L6" s="174">
        <f>IF(J2&lt;&gt;0,1,0)+IF(J3&lt;&gt;0,1,0)+IF(J4&lt;&gt;0,1,0)+IF(J5&lt;&gt;0,1,0)+IF(J6&lt;&gt;0,1,0)+IF(J7&lt;&gt;0,1,0)</f>
        <v>1</v>
      </c>
      <c r="M6" s="174"/>
    </row>
    <row r="7" spans="9:13" ht="19" thickBot="1" x14ac:dyDescent="0.4">
      <c r="I7" s="57" t="s">
        <v>212</v>
      </c>
      <c r="J7" s="64">
        <v>0</v>
      </c>
      <c r="K7" s="61" t="s">
        <v>213</v>
      </c>
      <c r="L7" s="168">
        <f>L2*(1-0.04*(L3+L4/2+L5/4))</f>
        <v>9.6933333333333316</v>
      </c>
      <c r="M7" s="169"/>
    </row>
    <row r="8" spans="9:13" ht="18.5" x14ac:dyDescent="0.35">
      <c r="L8" s="62"/>
      <c r="M8" s="62"/>
    </row>
    <row r="19" spans="9:9" x14ac:dyDescent="0.35">
      <c r="I19" s="43"/>
    </row>
  </sheetData>
  <sheetProtection algorithmName="SHA-512" hashValue="HU+5L35JVuEyuID3jOmU2CSVauJG3+0N2EZizNgYlxbQnD51fdxOa4IiZ4vfUgcHLFosWhLTjNd7dGUbnAp8HQ==" saltValue="CussSjc1ac3jVK7kk2iizA==" spinCount="100000" sheet="1" objects="1" scenarios="1" selectLockedCells="1"/>
  <mergeCells count="6">
    <mergeCell ref="L7:M7"/>
    <mergeCell ref="L2:M2"/>
    <mergeCell ref="L3:M3"/>
    <mergeCell ref="L4:M4"/>
    <mergeCell ref="L5:M5"/>
    <mergeCell ref="L6:M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B2:Q60"/>
  <sheetViews>
    <sheetView tabSelected="1" zoomScale="83" workbookViewId="0">
      <selection activeCell="I12" sqref="I12:I13"/>
    </sheetView>
  </sheetViews>
  <sheetFormatPr baseColWidth="10" defaultColWidth="9.1796875" defaultRowHeight="14.5" x14ac:dyDescent="0.35"/>
  <cols>
    <col min="2" max="2" width="20.7265625" bestFit="1" customWidth="1"/>
    <col min="3" max="3" width="5.7265625" customWidth="1"/>
    <col min="4" max="4" width="39" bestFit="1" customWidth="1"/>
    <col min="5" max="9" width="5.7265625" customWidth="1"/>
    <col min="10" max="10" width="9.453125" bestFit="1" customWidth="1"/>
    <col min="11" max="11" width="7.453125" bestFit="1" customWidth="1"/>
    <col min="12" max="12" width="9.453125" bestFit="1" customWidth="1"/>
    <col min="13" max="13" width="7.453125" bestFit="1" customWidth="1"/>
    <col min="15" max="15" width="27.54296875" bestFit="1" customWidth="1"/>
    <col min="16" max="16" width="17.26953125" bestFit="1" customWidth="1"/>
  </cols>
  <sheetData>
    <row r="2" spans="2:14" ht="30" customHeight="1" x14ac:dyDescent="0.35">
      <c r="B2" s="140" t="s">
        <v>0</v>
      </c>
      <c r="C2" s="89" t="s">
        <v>17</v>
      </c>
      <c r="D2" s="90"/>
      <c r="E2" s="91" t="s">
        <v>37</v>
      </c>
      <c r="F2" s="93" t="s">
        <v>38</v>
      </c>
      <c r="G2" s="89" t="s">
        <v>39</v>
      </c>
      <c r="H2" s="95"/>
      <c r="I2" s="90"/>
      <c r="J2" s="14" t="s">
        <v>43</v>
      </c>
      <c r="K2" s="15" t="s">
        <v>44</v>
      </c>
      <c r="L2" s="16" t="s">
        <v>43</v>
      </c>
      <c r="M2" s="15" t="s">
        <v>44</v>
      </c>
      <c r="N2" s="30" t="s">
        <v>169</v>
      </c>
    </row>
    <row r="3" spans="2:14" x14ac:dyDescent="0.35">
      <c r="B3" s="140"/>
      <c r="C3" s="50" t="s">
        <v>18</v>
      </c>
      <c r="D3" s="50" t="s">
        <v>19</v>
      </c>
      <c r="E3" s="92"/>
      <c r="F3" s="94"/>
      <c r="G3" s="50" t="s">
        <v>87</v>
      </c>
      <c r="H3" s="50" t="s">
        <v>42</v>
      </c>
      <c r="I3" s="50" t="s">
        <v>40</v>
      </c>
      <c r="J3" s="17" t="s">
        <v>46</v>
      </c>
      <c r="K3" s="18" t="s">
        <v>45</v>
      </c>
      <c r="L3" s="47" t="s">
        <v>47</v>
      </c>
      <c r="M3" s="17" t="s">
        <v>47</v>
      </c>
    </row>
    <row r="4" spans="2:14" x14ac:dyDescent="0.35">
      <c r="B4" s="48"/>
      <c r="C4" s="118" t="s">
        <v>171</v>
      </c>
      <c r="D4" s="126" t="s">
        <v>174</v>
      </c>
      <c r="E4" s="118">
        <v>4</v>
      </c>
      <c r="F4" s="118">
        <v>2</v>
      </c>
      <c r="G4" s="130">
        <v>10</v>
      </c>
      <c r="H4" s="130">
        <v>10.75</v>
      </c>
      <c r="I4" s="130">
        <v>11.25</v>
      </c>
      <c r="J4" s="115">
        <f>(G4*66+34*(H4+I4)/2)/100</f>
        <v>10.34</v>
      </c>
      <c r="K4" s="118">
        <f>IF(J4&gt;=10,E4,0)</f>
        <v>4</v>
      </c>
      <c r="L4" s="115">
        <f>(J4*F4+J6*F6+J8*F8)/SUM(F4:F9)</f>
        <v>11.043333333333331</v>
      </c>
      <c r="M4" s="118">
        <f>IF(L4&gt;=10,SUM(E4:E9),SUM(K4:K9))</f>
        <v>12</v>
      </c>
    </row>
    <row r="5" spans="2:14" x14ac:dyDescent="0.35">
      <c r="B5" s="38" t="s">
        <v>1</v>
      </c>
      <c r="C5" s="120"/>
      <c r="D5" s="127"/>
      <c r="E5" s="120"/>
      <c r="F5" s="120"/>
      <c r="G5" s="131"/>
      <c r="H5" s="131"/>
      <c r="I5" s="131"/>
      <c r="J5" s="117"/>
      <c r="K5" s="120"/>
      <c r="L5" s="116"/>
      <c r="M5" s="119"/>
    </row>
    <row r="6" spans="2:14" x14ac:dyDescent="0.35">
      <c r="B6" s="4" t="s">
        <v>170</v>
      </c>
      <c r="C6" s="121" t="s">
        <v>172</v>
      </c>
      <c r="D6" s="123" t="s">
        <v>175</v>
      </c>
      <c r="E6" s="124">
        <v>4</v>
      </c>
      <c r="F6" s="118">
        <v>2</v>
      </c>
      <c r="G6" s="130">
        <v>5.75</v>
      </c>
      <c r="H6" s="132">
        <v>12.75</v>
      </c>
      <c r="I6" s="136" t="s">
        <v>41</v>
      </c>
      <c r="J6" s="134">
        <f>(66*G6+34*H6)/100</f>
        <v>8.1300000000000008</v>
      </c>
      <c r="K6" s="135">
        <f>IF(J6&gt;=10,E8,0)</f>
        <v>0</v>
      </c>
      <c r="L6" s="116"/>
      <c r="M6" s="119"/>
    </row>
    <row r="7" spans="2:14" x14ac:dyDescent="0.35">
      <c r="B7" s="4" t="s">
        <v>192</v>
      </c>
      <c r="C7" s="122"/>
      <c r="D7" s="123"/>
      <c r="E7" s="125"/>
      <c r="F7" s="120"/>
      <c r="G7" s="131"/>
      <c r="H7" s="133"/>
      <c r="I7" s="137"/>
      <c r="J7" s="134"/>
      <c r="K7" s="135"/>
      <c r="L7" s="116"/>
      <c r="M7" s="119"/>
    </row>
    <row r="8" spans="2:14" x14ac:dyDescent="0.35">
      <c r="B8" s="4" t="s">
        <v>159</v>
      </c>
      <c r="C8" s="118" t="s">
        <v>173</v>
      </c>
      <c r="D8" s="126" t="s">
        <v>176</v>
      </c>
      <c r="E8" s="118">
        <v>4</v>
      </c>
      <c r="F8" s="118">
        <v>2</v>
      </c>
      <c r="G8" s="130">
        <v>15</v>
      </c>
      <c r="H8" s="132">
        <v>14</v>
      </c>
      <c r="I8" s="130">
        <v>14</v>
      </c>
      <c r="J8" s="134">
        <f>(G8*66+34*(H8+I8)/2)/100</f>
        <v>14.66</v>
      </c>
      <c r="K8" s="135">
        <f>IF(J8&gt;=10,E10,0)</f>
        <v>4</v>
      </c>
      <c r="L8" s="116"/>
      <c r="M8" s="119"/>
    </row>
    <row r="9" spans="2:14" x14ac:dyDescent="0.35">
      <c r="B9" s="37"/>
      <c r="C9" s="120"/>
      <c r="D9" s="127"/>
      <c r="E9" s="120"/>
      <c r="F9" s="120"/>
      <c r="G9" s="131"/>
      <c r="H9" s="133"/>
      <c r="I9" s="131"/>
      <c r="J9" s="134"/>
      <c r="K9" s="135"/>
      <c r="L9" s="117"/>
      <c r="M9" s="120"/>
    </row>
    <row r="10" spans="2:14" x14ac:dyDescent="0.35">
      <c r="B10" s="6" t="s">
        <v>1</v>
      </c>
      <c r="C10" s="102" t="s">
        <v>179</v>
      </c>
      <c r="D10" s="109" t="s">
        <v>186</v>
      </c>
      <c r="E10" s="102">
        <v>4</v>
      </c>
      <c r="F10" s="102">
        <v>2</v>
      </c>
      <c r="G10" s="138">
        <v>15</v>
      </c>
      <c r="H10" s="138">
        <v>14</v>
      </c>
      <c r="I10" s="138">
        <v>14</v>
      </c>
      <c r="J10" s="99">
        <f>(G10*66+34*(H10+I10)/2)/100</f>
        <v>14.66</v>
      </c>
      <c r="K10" s="102">
        <f>IF(J10&gt;=10,E10,0)</f>
        <v>4</v>
      </c>
      <c r="L10" s="99">
        <f>(J10+J12)/2</f>
        <v>9.879999999999999</v>
      </c>
      <c r="M10" s="102">
        <f>IF(L10&gt;=10,SUM(E10:E13),SUM(K10:K13))</f>
        <v>4</v>
      </c>
    </row>
    <row r="11" spans="2:14" x14ac:dyDescent="0.35">
      <c r="B11" s="6" t="s">
        <v>178</v>
      </c>
      <c r="C11" s="104"/>
      <c r="D11" s="110"/>
      <c r="E11" s="104"/>
      <c r="F11" s="104"/>
      <c r="G11" s="139"/>
      <c r="H11" s="139"/>
      <c r="I11" s="139"/>
      <c r="J11" s="101"/>
      <c r="K11" s="104"/>
      <c r="L11" s="100"/>
      <c r="M11" s="103"/>
    </row>
    <row r="12" spans="2:14" x14ac:dyDescent="0.35">
      <c r="B12" s="6" t="s">
        <v>177</v>
      </c>
      <c r="C12" s="102" t="s">
        <v>180</v>
      </c>
      <c r="D12" s="109" t="s">
        <v>187</v>
      </c>
      <c r="E12" s="102">
        <v>4</v>
      </c>
      <c r="F12" s="102">
        <v>2</v>
      </c>
      <c r="G12" s="138">
        <v>4.25</v>
      </c>
      <c r="H12" s="138">
        <v>4</v>
      </c>
      <c r="I12" s="113">
        <v>9.5</v>
      </c>
      <c r="J12" s="99">
        <f>(G12*66+34*(H12+I12)/2)/100</f>
        <v>5.0999999999999996</v>
      </c>
      <c r="K12" s="102">
        <f t="shared" ref="K12" si="0">IF(J12&gt;=10,E12,0)</f>
        <v>0</v>
      </c>
      <c r="L12" s="100"/>
      <c r="M12" s="103"/>
    </row>
    <row r="13" spans="2:14" x14ac:dyDescent="0.35">
      <c r="B13" s="7" t="s">
        <v>12</v>
      </c>
      <c r="C13" s="104"/>
      <c r="D13" s="110"/>
      <c r="E13" s="104"/>
      <c r="F13" s="104"/>
      <c r="G13" s="139"/>
      <c r="H13" s="139"/>
      <c r="I13" s="114"/>
      <c r="J13" s="101"/>
      <c r="K13" s="104"/>
      <c r="L13" s="101"/>
      <c r="M13" s="104"/>
    </row>
    <row r="14" spans="2:14" x14ac:dyDescent="0.35">
      <c r="B14" s="12" t="s">
        <v>5</v>
      </c>
      <c r="C14" s="77" t="s">
        <v>183</v>
      </c>
      <c r="D14" s="105" t="s">
        <v>188</v>
      </c>
      <c r="E14" s="77">
        <v>4</v>
      </c>
      <c r="F14" s="77">
        <v>2</v>
      </c>
      <c r="G14" s="79">
        <v>6.5</v>
      </c>
      <c r="H14" s="79">
        <v>6.5</v>
      </c>
      <c r="I14" s="81" t="s">
        <v>41</v>
      </c>
      <c r="J14" s="83">
        <f>(66*G14+34*H14)/100</f>
        <v>6.5</v>
      </c>
      <c r="K14" s="77">
        <f>IF(J14&gt;=10,E14,0)</f>
        <v>0</v>
      </c>
      <c r="L14" s="83">
        <f>(J14*F14+J16*F16)/SUM(F14:F17)</f>
        <v>6.1549999999999994</v>
      </c>
      <c r="M14" s="77">
        <f>IF(L14&gt;=10,SUM(E14:E17),SUM(K14:K17))</f>
        <v>0</v>
      </c>
    </row>
    <row r="15" spans="2:14" x14ac:dyDescent="0.35">
      <c r="B15" s="8" t="s">
        <v>181</v>
      </c>
      <c r="C15" s="78"/>
      <c r="D15" s="106"/>
      <c r="E15" s="78"/>
      <c r="F15" s="78"/>
      <c r="G15" s="80"/>
      <c r="H15" s="80"/>
      <c r="I15" s="82"/>
      <c r="J15" s="84"/>
      <c r="K15" s="78"/>
      <c r="L15" s="107"/>
      <c r="M15" s="108"/>
    </row>
    <row r="16" spans="2:14" x14ac:dyDescent="0.35">
      <c r="B16" s="8" t="s">
        <v>177</v>
      </c>
      <c r="C16" s="77" t="s">
        <v>182</v>
      </c>
      <c r="D16" s="161" t="s">
        <v>189</v>
      </c>
      <c r="E16" s="77">
        <v>4</v>
      </c>
      <c r="F16" s="77">
        <v>2</v>
      </c>
      <c r="G16" s="85">
        <v>7</v>
      </c>
      <c r="H16" s="81" t="s">
        <v>41</v>
      </c>
      <c r="I16" s="85">
        <v>3.5</v>
      </c>
      <c r="J16" s="83">
        <f>(66*G16+34*I16)/100</f>
        <v>5.81</v>
      </c>
      <c r="K16" s="77">
        <f>IF(J16&gt;=10,E16,0)</f>
        <v>0</v>
      </c>
      <c r="L16" s="107"/>
      <c r="M16" s="108"/>
    </row>
    <row r="17" spans="2:17" x14ac:dyDescent="0.35">
      <c r="B17" s="9" t="s">
        <v>12</v>
      </c>
      <c r="C17" s="78"/>
      <c r="D17" s="106"/>
      <c r="E17" s="78"/>
      <c r="F17" s="78"/>
      <c r="G17" s="86"/>
      <c r="H17" s="82"/>
      <c r="I17" s="86"/>
      <c r="J17" s="84"/>
      <c r="K17" s="78"/>
      <c r="L17" s="84"/>
      <c r="M17" s="78"/>
    </row>
    <row r="18" spans="2:17" x14ac:dyDescent="0.35">
      <c r="B18" s="13" t="s">
        <v>13</v>
      </c>
      <c r="C18" s="67" t="s">
        <v>185</v>
      </c>
      <c r="D18" s="65" t="s">
        <v>36</v>
      </c>
      <c r="E18" s="67">
        <v>2</v>
      </c>
      <c r="F18" s="67">
        <v>1</v>
      </c>
      <c r="G18" s="75">
        <v>15</v>
      </c>
      <c r="H18" s="73" t="s">
        <v>41</v>
      </c>
      <c r="I18" s="73" t="s">
        <v>41</v>
      </c>
      <c r="J18" s="69">
        <f>G18</f>
        <v>15</v>
      </c>
      <c r="K18" s="67">
        <f>IF(J18&gt;=10,E18,0)</f>
        <v>2</v>
      </c>
      <c r="L18" s="69">
        <f>J18</f>
        <v>15</v>
      </c>
      <c r="M18" s="67">
        <f>IF(L18&gt;=10,E18,K18)</f>
        <v>2</v>
      </c>
      <c r="Q18" s="3"/>
    </row>
    <row r="19" spans="2:17" x14ac:dyDescent="0.35">
      <c r="B19" s="10" t="s">
        <v>184</v>
      </c>
      <c r="C19" s="72"/>
      <c r="D19" s="96"/>
      <c r="E19" s="72"/>
      <c r="F19" s="72"/>
      <c r="G19" s="97"/>
      <c r="H19" s="98"/>
      <c r="I19" s="98"/>
      <c r="J19" s="70"/>
      <c r="K19" s="72"/>
      <c r="L19" s="70"/>
      <c r="M19" s="72"/>
    </row>
    <row r="20" spans="2:17" x14ac:dyDescent="0.35">
      <c r="B20" s="10" t="s">
        <v>14</v>
      </c>
      <c r="C20" s="72"/>
      <c r="D20" s="96"/>
      <c r="E20" s="72"/>
      <c r="F20" s="72"/>
      <c r="G20" s="97"/>
      <c r="H20" s="98"/>
      <c r="I20" s="98"/>
      <c r="J20" s="70"/>
      <c r="K20" s="72"/>
      <c r="L20" s="70"/>
      <c r="M20" s="72"/>
      <c r="O20" s="20" t="s">
        <v>190</v>
      </c>
      <c r="P20" s="21">
        <f>(L4*6+L10*4+L14*4+L18)/15</f>
        <v>9.6933333333333316</v>
      </c>
    </row>
    <row r="21" spans="2:17" ht="15" customHeight="1" x14ac:dyDescent="0.35">
      <c r="B21" s="11" t="s">
        <v>15</v>
      </c>
      <c r="C21" s="68"/>
      <c r="D21" s="66"/>
      <c r="E21" s="68"/>
      <c r="F21" s="68"/>
      <c r="G21" s="76"/>
      <c r="H21" s="74"/>
      <c r="I21" s="74"/>
      <c r="J21" s="71"/>
      <c r="K21" s="68"/>
      <c r="L21" s="71"/>
      <c r="M21" s="68"/>
      <c r="O21" s="20" t="s">
        <v>167</v>
      </c>
      <c r="P21" s="22">
        <f>IF(P20&gt;=10,30,SUM(M4:M21))</f>
        <v>18</v>
      </c>
    </row>
    <row r="22" spans="2:17" x14ac:dyDescent="0.35">
      <c r="B22" s="2" t="s">
        <v>139</v>
      </c>
      <c r="C22" s="2"/>
      <c r="D22" s="1"/>
      <c r="E22" t="s">
        <v>91</v>
      </c>
      <c r="L22" s="41" t="s">
        <v>168</v>
      </c>
      <c r="M22" t="s">
        <v>217</v>
      </c>
    </row>
    <row r="24" spans="2:17" x14ac:dyDescent="0.35">
      <c r="L24" s="40"/>
      <c r="M24" s="40"/>
    </row>
    <row r="25" spans="2:17" x14ac:dyDescent="0.35">
      <c r="L25" s="40"/>
      <c r="M25" s="40"/>
    </row>
    <row r="26" spans="2:17" x14ac:dyDescent="0.35">
      <c r="L26" s="40"/>
      <c r="M26" s="40"/>
    </row>
    <row r="27" spans="2:17" x14ac:dyDescent="0.35">
      <c r="L27" s="40"/>
      <c r="M27" s="40"/>
    </row>
    <row r="28" spans="2:17" x14ac:dyDescent="0.35">
      <c r="L28" s="40"/>
      <c r="M28" s="40"/>
    </row>
    <row r="29" spans="2:17" x14ac:dyDescent="0.35">
      <c r="L29" s="40"/>
      <c r="M29" s="40"/>
    </row>
    <row r="45" spans="3:13" x14ac:dyDescent="0.35"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</row>
    <row r="46" spans="3:13" x14ac:dyDescent="0.35"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</row>
    <row r="47" spans="3:13" x14ac:dyDescent="0.35"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</row>
    <row r="48" spans="3:13" x14ac:dyDescent="0.35"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</row>
    <row r="49" spans="3:13" x14ac:dyDescent="0.35"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</row>
    <row r="50" spans="3:13" x14ac:dyDescent="0.35"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</row>
    <row r="51" spans="3:13" x14ac:dyDescent="0.35"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</row>
    <row r="52" spans="3:13" x14ac:dyDescent="0.35"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</row>
    <row r="53" spans="3:13" x14ac:dyDescent="0.35"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</row>
    <row r="54" spans="3:13" x14ac:dyDescent="0.35"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</row>
    <row r="55" spans="3:13" x14ac:dyDescent="0.35"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</row>
    <row r="56" spans="3:13" x14ac:dyDescent="0.35"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</row>
    <row r="57" spans="3:13" x14ac:dyDescent="0.35">
      <c r="C57" s="40"/>
      <c r="E57" s="40"/>
      <c r="F57" s="40"/>
      <c r="G57" s="40"/>
      <c r="H57" s="40"/>
      <c r="I57" s="40"/>
      <c r="J57" s="40"/>
      <c r="K57" s="40"/>
      <c r="L57" s="40"/>
      <c r="M57" s="40"/>
    </row>
    <row r="58" spans="3:13" x14ac:dyDescent="0.35">
      <c r="C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3:13" x14ac:dyDescent="0.35"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</row>
    <row r="60" spans="3:13" x14ac:dyDescent="0.35"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</row>
  </sheetData>
  <sheetProtection algorithmName="SHA-512" hashValue="0HQAQaLW7+Z5lbZ4NdxYEez/ZQ0/a/8wuvd/DMqEodpAWZJvkBgyMHkIu+BW8cQwC+N3uDM38Ra29srFMkDL5A==" saltValue="WaUc0PKc9R50LzkMMo/nVw==" spinCount="100000" sheet="1" objects="1" scenarios="1" selectLockedCells="1"/>
  <mergeCells count="85">
    <mergeCell ref="C4:C5"/>
    <mergeCell ref="D4:D5"/>
    <mergeCell ref="E4:E5"/>
    <mergeCell ref="F4:F5"/>
    <mergeCell ref="G4:G5"/>
    <mergeCell ref="B2:B3"/>
    <mergeCell ref="C2:D2"/>
    <mergeCell ref="E2:E3"/>
    <mergeCell ref="F2:F3"/>
    <mergeCell ref="G2:I2"/>
    <mergeCell ref="L4:L9"/>
    <mergeCell ref="M4:M9"/>
    <mergeCell ref="I6:I7"/>
    <mergeCell ref="J6:J7"/>
    <mergeCell ref="K6:K7"/>
    <mergeCell ref="I8:I9"/>
    <mergeCell ref="J8:J9"/>
    <mergeCell ref="K8:K9"/>
    <mergeCell ref="H6:H7"/>
    <mergeCell ref="H4:H5"/>
    <mergeCell ref="I4:I5"/>
    <mergeCell ref="J4:J5"/>
    <mergeCell ref="K4:K5"/>
    <mergeCell ref="C6:C7"/>
    <mergeCell ref="D6:D7"/>
    <mergeCell ref="E6:E7"/>
    <mergeCell ref="F6:F7"/>
    <mergeCell ref="G6:G7"/>
    <mergeCell ref="H8:H9"/>
    <mergeCell ref="C10:C11"/>
    <mergeCell ref="E10:E11"/>
    <mergeCell ref="F10:F11"/>
    <mergeCell ref="G10:G11"/>
    <mergeCell ref="H10:H11"/>
    <mergeCell ref="C8:C9"/>
    <mergeCell ref="D8:D9"/>
    <mergeCell ref="E8:E9"/>
    <mergeCell ref="F8:F9"/>
    <mergeCell ref="G8:G9"/>
    <mergeCell ref="L10:L13"/>
    <mergeCell ref="M10:M13"/>
    <mergeCell ref="C12:C13"/>
    <mergeCell ref="D12:D13"/>
    <mergeCell ref="E12:E13"/>
    <mergeCell ref="F12:F13"/>
    <mergeCell ref="G12:G13"/>
    <mergeCell ref="H12:H13"/>
    <mergeCell ref="I12:I13"/>
    <mergeCell ref="J12:J13"/>
    <mergeCell ref="I10:I11"/>
    <mergeCell ref="J10:J11"/>
    <mergeCell ref="K10:K11"/>
    <mergeCell ref="I14:I15"/>
    <mergeCell ref="J14:J15"/>
    <mergeCell ref="K14:K15"/>
    <mergeCell ref="D16:D17"/>
    <mergeCell ref="E16:E17"/>
    <mergeCell ref="F16:F17"/>
    <mergeCell ref="G16:G17"/>
    <mergeCell ref="C14:C15"/>
    <mergeCell ref="D14:D15"/>
    <mergeCell ref="E14:E15"/>
    <mergeCell ref="F14:F15"/>
    <mergeCell ref="G14:G15"/>
    <mergeCell ref="G18:G21"/>
    <mergeCell ref="H16:H17"/>
    <mergeCell ref="D10:D11"/>
    <mergeCell ref="L18:L21"/>
    <mergeCell ref="M18:M21"/>
    <mergeCell ref="K16:K17"/>
    <mergeCell ref="H18:H21"/>
    <mergeCell ref="I18:I21"/>
    <mergeCell ref="J18:J21"/>
    <mergeCell ref="K18:K21"/>
    <mergeCell ref="L14:L17"/>
    <mergeCell ref="M14:M17"/>
    <mergeCell ref="I16:I17"/>
    <mergeCell ref="J16:J17"/>
    <mergeCell ref="K12:K13"/>
    <mergeCell ref="H14:H15"/>
    <mergeCell ref="C16:C17"/>
    <mergeCell ref="C18:C21"/>
    <mergeCell ref="D18:D21"/>
    <mergeCell ref="E18:E21"/>
    <mergeCell ref="F18:F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L1</vt:lpstr>
      <vt:lpstr>INFO</vt:lpstr>
      <vt:lpstr>L2 MATH</vt:lpstr>
      <vt:lpstr>SI</vt:lpstr>
      <vt:lpstr>L3 MATH</vt:lpstr>
      <vt:lpstr>Recap</vt:lpstr>
      <vt:lpstr>ISIL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2020-04-01T20:38:10Z</dcterms:modified>
</cp:coreProperties>
</file>